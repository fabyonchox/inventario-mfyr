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porte\Desktop\INVENTARIO KINESITERAPIA\"/>
    </mc:Choice>
  </mc:AlternateContent>
  <xr:revisionPtr revIDLastSave="0" documentId="13_ncr:1_{95BC9CF3-3AC3-47E6-B340-415A48C58D65}" xr6:coauthVersionLast="47" xr6:coauthVersionMax="47" xr10:uidLastSave="{00000000-0000-0000-0000-000000000000}"/>
  <bookViews>
    <workbookView xWindow="-120" yWindow="-120" windowWidth="29040" windowHeight="15720" xr2:uid="{2B376477-EED3-43C3-A875-1B351AE90B1E}"/>
  </bookViews>
  <sheets>
    <sheet name="Productos" sheetId="1" r:id="rId1"/>
    <sheet name="Entradas" sheetId="2" r:id="rId2"/>
    <sheet name="Salidas" sheetId="3" r:id="rId3"/>
    <sheet name="historiall" sheetId="4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43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5" i="1"/>
</calcChain>
</file>

<file path=xl/sharedStrings.xml><?xml version="1.0" encoding="utf-8"?>
<sst xmlns="http://schemas.openxmlformats.org/spreadsheetml/2006/main" count="483" uniqueCount="188">
  <si>
    <t>codigo</t>
  </si>
  <si>
    <t>descripcion</t>
  </si>
  <si>
    <t>valor</t>
  </si>
  <si>
    <t>211-0078</t>
  </si>
  <si>
    <t>ALCHOL DESNATURALIZADO FC 95LT.</t>
  </si>
  <si>
    <t>211-0080</t>
  </si>
  <si>
    <t>GLICERINA SIN FRAGANCIA-JABOL LT.</t>
  </si>
  <si>
    <t>222-0293</t>
  </si>
  <si>
    <t>SONDA P/OXIGENO ADULTO(BIGOTERA)</t>
  </si>
  <si>
    <t>222-0456</t>
  </si>
  <si>
    <t>TORULAS GINECOLOGICAS C/MADERA</t>
  </si>
  <si>
    <t>222-0896</t>
  </si>
  <si>
    <t>VALVULA FONACION CON PUERTO DE OXIGENO</t>
  </si>
  <si>
    <t>224-0540</t>
  </si>
  <si>
    <t>PARCHE EXTRABISMO ADULTO</t>
  </si>
  <si>
    <t>224-0624</t>
  </si>
  <si>
    <t xml:space="preserve">AGUJA ACUPUNTURA </t>
  </si>
  <si>
    <t>225-0128</t>
  </si>
  <si>
    <t>GASA HIDROFILA 90 CM X 91MT.</t>
  </si>
  <si>
    <t>225-0136</t>
  </si>
  <si>
    <t>GORRO ENFERMERA DESECHABLE</t>
  </si>
  <si>
    <t>225-0142</t>
  </si>
  <si>
    <t>TEJIDO TUBULAR 10 CM</t>
  </si>
  <si>
    <t>225-0143</t>
  </si>
  <si>
    <t>TEJIDO TUBULAR 15 CM</t>
  </si>
  <si>
    <t>225-0145</t>
  </si>
  <si>
    <t>TELA ADHESIVA HIPOALERGENICA 5 CMX 9.1 M/DURAPORE</t>
  </si>
  <si>
    <t>225-0146</t>
  </si>
  <si>
    <t>TELA ADHESIVA HIPOALER.CARRETE 2,5 CM/MICROPORE</t>
  </si>
  <si>
    <t>225-0147</t>
  </si>
  <si>
    <t>TELA ADHESIVA PLASTICA 2,5 CM ANCHO/TRANSPORE</t>
  </si>
  <si>
    <t>225-0236</t>
  </si>
  <si>
    <t>VENDA GASA ELASTICA 6X4CM EN ENVASE IND.ESTERIL/ELASTOMUL</t>
  </si>
  <si>
    <t>225-0286</t>
  </si>
  <si>
    <t>FIXOMUL STRECH( ROLLO 10 MT X 5CM)</t>
  </si>
  <si>
    <t>225-0380</t>
  </si>
  <si>
    <t>GUANTE DE NITRILO SMALL</t>
  </si>
  <si>
    <t>225-0381</t>
  </si>
  <si>
    <t>GUANTE DE NITRILO LARGO</t>
  </si>
  <si>
    <t>225-0382</t>
  </si>
  <si>
    <t>VENDA ELASTICA POROSA COLOR PIEL 10 CM X 4,5 M(COVAN)</t>
  </si>
  <si>
    <t>225-0392</t>
  </si>
  <si>
    <t>GASA CHICA NO TEJIDA ESTERIL 5X5 CM X2 UDS</t>
  </si>
  <si>
    <t>225-0406</t>
  </si>
  <si>
    <t>GUANTE DE NITRILO MEDIUN</t>
  </si>
  <si>
    <t>225-0629</t>
  </si>
  <si>
    <t>VENDAS KINESIOLOGICAS (TAPE)</t>
  </si>
  <si>
    <t>225-0635</t>
  </si>
  <si>
    <t>VENDA BSN MEDICAL SOFFBAN SYNTHETIC (12 ROLLOS)</t>
  </si>
  <si>
    <t>225-0636</t>
  </si>
  <si>
    <t>VENDA BSN MEDICAL COMPRILAN 10X5</t>
  </si>
  <si>
    <t>225-0638</t>
  </si>
  <si>
    <t>VENDA FOAMY</t>
  </si>
  <si>
    <t>225-0670</t>
  </si>
  <si>
    <t>VENDA BSN MEDICAL COMPRILAN 8X5</t>
  </si>
  <si>
    <t>225-0871</t>
  </si>
  <si>
    <t>CINTAS PARA GLUCOMETRO CARESENS</t>
  </si>
  <si>
    <t>241-0264</t>
  </si>
  <si>
    <t>LANCETAS CON BIOSEGURIDAD DE USO INTRAOSPITALARIO</t>
  </si>
  <si>
    <t>244-0083</t>
  </si>
  <si>
    <t>RRA PARAFINA SOLIDA P/TRAT.TERAPEUTICO</t>
  </si>
  <si>
    <t>252-1449</t>
  </si>
  <si>
    <t>TORULAS DE ALGODÓN NO ESTERIL 0,5 GRAMOS</t>
  </si>
  <si>
    <t>340-0238</t>
  </si>
  <si>
    <t>BAJALENGUAS</t>
  </si>
  <si>
    <t>340-0376</t>
  </si>
  <si>
    <t>COMPRESA HUMEDO CALIENTE 25X30 USO KINESITERAPIA</t>
  </si>
  <si>
    <t>340-1569</t>
  </si>
  <si>
    <t>FILTRO HIMIDIFICADOR PARA TRAQUEOSTOMIA</t>
  </si>
  <si>
    <t>340-2293</t>
  </si>
  <si>
    <t>BANDAS ELASTICAS ROJO RESISTENCIA MEDIA BAJA</t>
  </si>
  <si>
    <t>340-2387</t>
  </si>
  <si>
    <t>BANDAS ELASTICAS VERDE RESISTENCIA MEDIA</t>
  </si>
  <si>
    <t>340-2389</t>
  </si>
  <si>
    <t>BANDAS ELASTICAS NEGRA RESISTENCIA MUY FUERTE</t>
  </si>
  <si>
    <t>340-2925</t>
  </si>
  <si>
    <t>ELECTRODO AUTOADHESIVO YENS 5X5</t>
  </si>
  <si>
    <t>347-0041</t>
  </si>
  <si>
    <t>PASTA ECOGRAFICA X 5LT</t>
  </si>
  <si>
    <t>N° comprobante</t>
  </si>
  <si>
    <t>Fecha</t>
  </si>
  <si>
    <t>Codigo</t>
  </si>
  <si>
    <t>Descripción</t>
  </si>
  <si>
    <t>Cantidad</t>
  </si>
  <si>
    <t>Observacion</t>
  </si>
  <si>
    <t>Observación</t>
  </si>
  <si>
    <t>Valor</t>
  </si>
  <si>
    <t>ID MOVIMIENTO</t>
  </si>
  <si>
    <t>HOJA</t>
  </si>
  <si>
    <t>FILA ORIGINAL</t>
  </si>
  <si>
    <t>FECHA / HORA</t>
  </si>
  <si>
    <t>Entradas</t>
  </si>
  <si>
    <t>Salidas</t>
  </si>
  <si>
    <t>100-0104</t>
  </si>
  <si>
    <t>Productos</t>
  </si>
  <si>
    <t>COLORANTES PARA TORTA</t>
  </si>
  <si>
    <t>aba</t>
  </si>
  <si>
    <t>pedido especial</t>
  </si>
  <si>
    <t>COD.DE BARRA</t>
  </si>
  <si>
    <t>UD</t>
  </si>
  <si>
    <t>LT</t>
  </si>
  <si>
    <t>RO</t>
  </si>
  <si>
    <t>CA</t>
  </si>
  <si>
    <t>KG</t>
  </si>
  <si>
    <t>Factor empaque</t>
  </si>
  <si>
    <t>Existencia</t>
  </si>
  <si>
    <t>BI</t>
  </si>
  <si>
    <t>Aba</t>
  </si>
  <si>
    <t>devolucion prestamo traumatologia</t>
  </si>
  <si>
    <t>100-0368</t>
  </si>
  <si>
    <t>ENTEREX ESPESANTE</t>
  </si>
  <si>
    <t>TR</t>
  </si>
  <si>
    <t>100-0446</t>
  </si>
  <si>
    <t>COLORANTE COMESTIBLE</t>
  </si>
  <si>
    <t>100-0447</t>
  </si>
  <si>
    <t>GOMA XANTANA PARA HORNEAR</t>
  </si>
  <si>
    <t>G</t>
  </si>
  <si>
    <t>120-0002</t>
  </si>
  <si>
    <t>BOLSAS PARA BASURA 50X70</t>
  </si>
  <si>
    <t>120-0003</t>
  </si>
  <si>
    <t>BOLSAS PARA BASURA 70X90</t>
  </si>
  <si>
    <t>120-0004</t>
  </si>
  <si>
    <t>BOLSAS NYLON 15X20 X0,03</t>
  </si>
  <si>
    <t>120-0010</t>
  </si>
  <si>
    <t xml:space="preserve">BOLSAS NYLON 25X35 X </t>
  </si>
  <si>
    <t>120-0015</t>
  </si>
  <si>
    <t>CERA LIQUIDA INCOLORA</t>
  </si>
  <si>
    <t>120-0022</t>
  </si>
  <si>
    <t>ESCOBILLONES</t>
  </si>
  <si>
    <t>120-0033</t>
  </si>
  <si>
    <t>GLASEX MULTIUSO</t>
  </si>
  <si>
    <t>FC</t>
  </si>
  <si>
    <t>120-0046</t>
  </si>
  <si>
    <t>LIMPIA VIDRIO LIQUIDO</t>
  </si>
  <si>
    <t>120-0047</t>
  </si>
  <si>
    <t>LUSTRA MUEBLE</t>
  </si>
  <si>
    <t>120-0060</t>
  </si>
  <si>
    <t>DETERGENTE NOBLA</t>
  </si>
  <si>
    <t>120-0080</t>
  </si>
  <si>
    <t>DESINFECTANTE AMONIACO VIM LIQUIDO</t>
  </si>
  <si>
    <t>120-0097</t>
  </si>
  <si>
    <t>LIMPIADOR DESENGRASANTE CREMA(CIF)</t>
  </si>
  <si>
    <t>120-0154</t>
  </si>
  <si>
    <t>TOALLA CLINIC INTERFOLIADA</t>
  </si>
  <si>
    <t>PQ</t>
  </si>
  <si>
    <t>120-0168</t>
  </si>
  <si>
    <t>DESINFECTANTE PISO Y BAÑO</t>
  </si>
  <si>
    <t>120-0249</t>
  </si>
  <si>
    <t>DESINFECTANTE AEROSOL</t>
  </si>
  <si>
    <t>120-0256</t>
  </si>
  <si>
    <t>CLORO EN POLVO</t>
  </si>
  <si>
    <t>120-0189</t>
  </si>
  <si>
    <t>BOLSAS DE HELADO 4X24 CM</t>
  </si>
  <si>
    <t>120-0258</t>
  </si>
  <si>
    <t>TOALLA DESINFECTANTE HUMEDA</t>
  </si>
  <si>
    <t>130-0003</t>
  </si>
  <si>
    <t>ALFILERES</t>
  </si>
  <si>
    <t>CJ</t>
  </si>
  <si>
    <t>130-0010</t>
  </si>
  <si>
    <t>BLOCK PARA DIBUJO</t>
  </si>
  <si>
    <t>130-0020</t>
  </si>
  <si>
    <t>CINTA EMBALAJE 48X40 MTS.TRANSPARENTE</t>
  </si>
  <si>
    <t>130-0035</t>
  </si>
  <si>
    <t>CLIPS METALICO ESTÁNDAR 28-30MM</t>
  </si>
  <si>
    <t>130-0036</t>
  </si>
  <si>
    <t>CLIPS GRANDES 50MM</t>
  </si>
  <si>
    <t>130-0037</t>
  </si>
  <si>
    <t>CORCHETES 26/6 (CAJAS 5000 UD)</t>
  </si>
  <si>
    <t>130-0038</t>
  </si>
  <si>
    <t>ELASTICOS (LISTAS DELGADAS)</t>
  </si>
  <si>
    <t>130-0082</t>
  </si>
  <si>
    <t>FUNDA PLASTICA TRANSPARENTE TAMAÑO CARTA</t>
  </si>
  <si>
    <t>130-0083</t>
  </si>
  <si>
    <t>PAPEL FOTOCOPIA CARTA</t>
  </si>
  <si>
    <t>RE</t>
  </si>
  <si>
    <t>130-0140</t>
  </si>
  <si>
    <t>PEGAMENTO EN BARRA</t>
  </si>
  <si>
    <t>TU</t>
  </si>
  <si>
    <t>130-0168</t>
  </si>
  <si>
    <t>PAPEL LUSTRE COLOR</t>
  </si>
  <si>
    <t>130-0229</t>
  </si>
  <si>
    <t>PLASTICINA DIFERENTE COLORES</t>
  </si>
  <si>
    <t>130-0257</t>
  </si>
  <si>
    <t>CAJA DE TEMPERA 12 COLORES</t>
  </si>
  <si>
    <t>130-0285</t>
  </si>
  <si>
    <t>OPALINA TAMAÑO CARTA</t>
  </si>
  <si>
    <t>INVENTARIO</t>
  </si>
  <si>
    <t>Inventario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</si>
</sst>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theme="1"/>
      <name val="Antique Olive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NumberFormat="1"/>
    <xf numFmtId="0" fontId="2" fillId="0" borderId="0" xfId="0" applyFon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entra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productos!A1"/><Relationship Id="rId1" Type="http://schemas.openxmlformats.org/officeDocument/2006/relationships/hyperlink" Target="#salida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productos!A1"/><Relationship Id="rId1" Type="http://schemas.openxmlformats.org/officeDocument/2006/relationships/hyperlink" Target="#entrada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productos!A1"/><Relationship Id="rId1" Type="http://schemas.openxmlformats.org/officeDocument/2006/relationships/hyperlink" Target="#sali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400050</xdr:colOff>
      <xdr:row>0</xdr:row>
      <xdr:rowOff>88900</xdr:rowOff>
    </xdr:from>
    <xdr:to>
      <xdr:col>3</xdr:col>
      <xdr:colOff>742950</xdr:colOff>
      <xdr:row>2</xdr:row>
      <xdr:rowOff>88900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8528C8-DA1B-6D45-4634-460E2404BC83}"/>
            </a:ext>
          </a:extLst>
        </xdr:cNvPr>
        <xdr:cNvSpPr/>
      </xdr:nvSpPr>
      <xdr:spPr>
        <a:xfrm>
          <a:off x="2051050" y="88900"/>
          <a:ext cx="1104900" cy="36830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Entradas</a:t>
          </a:r>
        </a:p>
      </xdr:txBody>
    </xdr:sp>
    <xdr:clientData/>
  </xdr:twoCellAnchor>
  <xdr:twoCellAnchor>
    <xdr:from>
      <xdr:col>4</xdr:col>
      <xdr:colOff>565150</xdr:colOff>
      <xdr:row>0</xdr:row>
      <xdr:rowOff>82550</xdr:rowOff>
    </xdr:from>
    <xdr:to>
      <xdr:col>6</xdr:col>
      <xdr:colOff>107950</xdr:colOff>
      <xdr:row>2</xdr:row>
      <xdr:rowOff>82550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869C588-C0DA-46F0-A373-08A78BADD6F0}"/>
            </a:ext>
          </a:extLst>
        </xdr:cNvPr>
        <xdr:cNvSpPr/>
      </xdr:nvSpPr>
      <xdr:spPr>
        <a:xfrm>
          <a:off x="3740150" y="82550"/>
          <a:ext cx="1104900" cy="3683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Salidas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114300</xdr:rowOff>
    </xdr:from>
    <xdr:to>
      <xdr:col>6</xdr:col>
      <xdr:colOff>209550</xdr:colOff>
      <xdr:row>2</xdr:row>
      <xdr:rowOff>127000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7B9258-8BE2-4D43-AC95-80DE79146B76}"/>
            </a:ext>
          </a:extLst>
        </xdr:cNvPr>
        <xdr:cNvSpPr/>
      </xdr:nvSpPr>
      <xdr:spPr>
        <a:xfrm>
          <a:off x="6648450" y="114300"/>
          <a:ext cx="1685925" cy="393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SALIDAS</a:t>
          </a:r>
        </a:p>
      </xdr:txBody>
    </xdr:sp>
    <xdr:clientData/>
  </xdr:twoCellAnchor>
  <xdr:twoCellAnchor>
    <xdr:from>
      <xdr:col>3</xdr:col>
      <xdr:colOff>200025</xdr:colOff>
      <xdr:row>0</xdr:row>
      <xdr:rowOff>123825</xdr:rowOff>
    </xdr:from>
    <xdr:to>
      <xdr:col>4</xdr:col>
      <xdr:colOff>342900</xdr:colOff>
      <xdr:row>2</xdr:row>
      <xdr:rowOff>142875</xdr:rowOff>
    </xdr:to>
    <xdr:sp macro="" textlink="">
      <xdr:nvSpPr>
        <xdr:cNvPr id="2" name="Rectángulo: esquinas redondeada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EEAF6B1-FB12-4197-A0E9-9E36CB4C505D}"/>
            </a:ext>
          </a:extLst>
        </xdr:cNvPr>
        <xdr:cNvSpPr/>
      </xdr:nvSpPr>
      <xdr:spPr>
        <a:xfrm>
          <a:off x="4476750" y="123825"/>
          <a:ext cx="1504950" cy="4000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PRODUCTOS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0</xdr:row>
          <xdr:rowOff>171450</xdr:rowOff>
        </xdr:from>
        <xdr:to>
          <xdr:col>1</xdr:col>
          <xdr:colOff>1857375</xdr:colOff>
          <xdr:row>2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Deshacer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2247900</xdr:colOff>
          <xdr:row>0</xdr:row>
          <xdr:rowOff>171450</xdr:rowOff>
        </xdr:from>
        <xdr:to>
          <xdr:col>2</xdr:col>
          <xdr:colOff>771525</xdr:colOff>
          <xdr:row>2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Reducción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0</xdr:row>
      <xdr:rowOff>85724</xdr:rowOff>
    </xdr:from>
    <xdr:to>
      <xdr:col>5</xdr:col>
      <xdr:colOff>742950</xdr:colOff>
      <xdr:row>2</xdr:row>
      <xdr:rowOff>171449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612014-6B9D-4222-9B33-A20D92443646}"/>
            </a:ext>
          </a:extLst>
        </xdr:cNvPr>
        <xdr:cNvSpPr/>
      </xdr:nvSpPr>
      <xdr:spPr>
        <a:xfrm>
          <a:off x="6858000" y="85724"/>
          <a:ext cx="1409700" cy="4667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Entrada</a:t>
          </a:r>
        </a:p>
      </xdr:txBody>
    </xdr:sp>
    <xdr:clientData/>
  </xdr:twoCellAnchor>
  <xdr:twoCellAnchor>
    <xdr:from>
      <xdr:col>3</xdr:col>
      <xdr:colOff>0</xdr:colOff>
      <xdr:row>0</xdr:row>
      <xdr:rowOff>85725</xdr:rowOff>
    </xdr:from>
    <xdr:to>
      <xdr:col>4</xdr:col>
      <xdr:colOff>19050</xdr:colOff>
      <xdr:row>2</xdr:row>
      <xdr:rowOff>200026</xdr:rowOff>
    </xdr:to>
    <xdr:sp macro="" textlink="">
      <xdr:nvSpPr>
        <xdr:cNvPr id="2" name="Rectángulo: esquinas redondeada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033EB39-9983-4278-8BCF-4A4508337AAE}"/>
            </a:ext>
          </a:extLst>
        </xdr:cNvPr>
        <xdr:cNvSpPr/>
      </xdr:nvSpPr>
      <xdr:spPr>
        <a:xfrm>
          <a:off x="4829175" y="85725"/>
          <a:ext cx="1552575" cy="495301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Productos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142875</xdr:rowOff>
        </xdr:from>
        <xdr:to>
          <xdr:col>1</xdr:col>
          <xdr:colOff>1876425</xdr:colOff>
          <xdr:row>2</xdr:row>
          <xdr:rowOff>219075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Deshacer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114300</xdr:rowOff>
    </xdr:from>
    <xdr:to>
      <xdr:col>6</xdr:col>
      <xdr:colOff>209550</xdr:colOff>
      <xdr:row>2</xdr:row>
      <xdr:rowOff>127000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246869-B7D1-4426-AFA5-F898F99CAC39}"/>
            </a:ext>
          </a:extLst>
        </xdr:cNvPr>
        <xdr:cNvSpPr/>
      </xdr:nvSpPr>
      <xdr:spPr>
        <a:xfrm>
          <a:off x="6810375" y="114300"/>
          <a:ext cx="1685925" cy="3937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SALIDAS</a:t>
          </a:r>
        </a:p>
      </xdr:txBody>
    </xdr:sp>
    <xdr:clientData/>
  </xdr:twoCellAnchor>
  <xdr:twoCellAnchor>
    <xdr:from>
      <xdr:col>3</xdr:col>
      <xdr:colOff>200025</xdr:colOff>
      <xdr:row>0</xdr:row>
      <xdr:rowOff>123825</xdr:rowOff>
    </xdr:from>
    <xdr:to>
      <xdr:col>4</xdr:col>
      <xdr:colOff>342900</xdr:colOff>
      <xdr:row>2</xdr:row>
      <xdr:rowOff>142875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CC017A-4721-4E84-B54C-70C15300C049}"/>
            </a:ext>
          </a:extLst>
        </xdr:cNvPr>
        <xdr:cNvSpPr/>
      </xdr:nvSpPr>
      <xdr:spPr>
        <a:xfrm>
          <a:off x="4638675" y="123825"/>
          <a:ext cx="1504950" cy="4000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PRODUCTOS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0</xdr:row>
          <xdr:rowOff>95250</xdr:rowOff>
        </xdr:from>
        <xdr:to>
          <xdr:col>1</xdr:col>
          <xdr:colOff>1552575</xdr:colOff>
          <xdr:row>2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Deshacer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5F88BF-8D65-4C3D-9599-EF837BF80802}" name="Tabla_productos" displayName="Tabla_productos" ref="A4:G78" insertRowShift="1" totalsRowShown="0">
  <autoFilter ref="A4:G78" xr:uid="{BA5F88BF-8D65-4C3D-9599-EF837BF80802}"/>
  <tableColumns count="7">
    <tableColumn id="1" xr3:uid="{C2561576-4280-4096-BCBA-BC36330636B4}" name="codigo"/>
    <tableColumn id="2" xr3:uid="{6B5AEFEB-15ED-42AC-91A5-380238697CC3}" name="descripcion"/>
    <tableColumn id="3" xr3:uid="{9449FF93-5841-4E1F-B511-F0BD2A0693FD}" name="Factor empaque"/>
    <tableColumn id="4" xr3:uid="{08D99898-6F1B-4FC0-A78D-B9F5D16F8C6D}" name="Entradas" dataDxfId="5">
      <calculatedColumnFormula>SUMIF(A4:A81,Tabla_entradas[[#This Row],[Codigo]],Entradas!E4:E87)</calculatedColumnFormula>
    </tableColumn>
    <tableColumn id="5" xr3:uid="{FEB1664B-3C81-4511-8158-856970DB0B5F}" name="Salidas" dataDxfId="4">
      <calculatedColumnFormula>SUMIF(Tabla_productos[[#This Row],[codigo]],Tabla_salidas[[#This Row],[Codigo]],Tabla_salidas[[#This Row],[Cantidad]])</calculatedColumnFormula>
    </tableColumn>
    <tableColumn id="6" xr3:uid="{BF9322B9-589D-413B-B722-524452AE883C}" name="Existencia" dataDxfId="3">
      <calculatedColumnFormula>Tabla_productos[[#This Row],[Entradas]]-Tabla_productos[[#This Row],[Salidas]]</calculatedColumnFormula>
    </tableColumn>
    <tableColumn id="7" xr3:uid="{DE4109E7-E68B-4F82-BC1A-C4275B70E1F0}" name="Valor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FC66A3-E65A-4238-B513-0EE681182DB2}" name="Tabla_entradas" displayName="Tabla_entradas" ref="A4:G86" totalsRowShown="0">
  <autoFilter ref="A4:G86" xr:uid="{24FC66A3-E65A-4238-B513-0EE681182DB2}"/>
  <tableColumns count="7">
    <tableColumn id="1" xr3:uid="{FA165330-765D-4BFC-A11D-291C05002FB0}" name="Codigo"/>
    <tableColumn id="2" xr3:uid="{3B7AE692-A55F-46D5-A4FF-3D51CEDFCAEE}" name="Descripción" dataDxfId="2"/>
    <tableColumn id="3" xr3:uid="{CC273184-C118-4AF1-A76A-6D8445C77D58}" name="Fecha"/>
    <tableColumn id="4" xr3:uid="{95BCAD34-6D9F-47FE-B564-49CC14F3F5D0}" name="N° comprobante"/>
    <tableColumn id="5" xr3:uid="{E42D3C94-3C4C-4995-BDC8-B26FAD19104E}" name="Cantidad"/>
    <tableColumn id="6" xr3:uid="{DB558540-7059-43DC-B798-61C52AA958EB}" name="Observación"/>
    <tableColumn id="7" xr3:uid="{A0EF1D21-DAF1-4CBD-A47F-1946426B4D4B}" name="Val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CAD9B5-FF1C-48B3-BCF4-5C2B7AD35A22}" name="Tabla_salidas" displayName="Tabla_salidas" ref="A4:G13" totalsRowShown="0">
  <autoFilter ref="A4:G13" xr:uid="{86CAD9B5-FF1C-48B3-BCF4-5C2B7AD35A22}"/>
  <tableColumns count="7">
    <tableColumn id="1" xr3:uid="{A0CAAFEE-66B8-4AEF-A97B-BE9F4A9490E7}" name="Codigo"/>
    <tableColumn id="2" xr3:uid="{6132D935-99A7-452D-B163-85A281A1D918}" name="Descripción" dataDxfId="1"/>
    <tableColumn id="3" xr3:uid="{1C5D4353-25FB-4162-B65D-55406CD6023A}" name="Fecha"/>
    <tableColumn id="4" xr3:uid="{05D41357-F646-4294-B818-9CC56E6F52D1}" name="N° comprobante"/>
    <tableColumn id="5" xr3:uid="{F7A4C6CD-FBF4-4E11-90D5-2C2A22BE3378}" name="Cantidad"/>
    <tableColumn id="6" xr3:uid="{DA028701-6198-4578-9EB5-CB0EC5EB0809}" name="Observacion"/>
    <tableColumn id="7" xr3:uid="{873CD666-E757-4AB7-821F-39962663F00E}" name="valor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A2B227-2802-4321-B8AB-348D34C46984}" name="Tabla_entradas5" displayName="Tabla_entradas5" ref="A4:K104" totalsRowShown="0">
  <autoFilter ref="A4:K104" xr:uid="{24FC66A3-E65A-4238-B513-0EE681182DB2}"/>
  <tableColumns count="11">
    <tableColumn id="1" xr3:uid="{9C40B8C4-04B3-4D2A-80BF-E0BF59A3140F}" name="Codigo"/>
    <tableColumn id="2" xr3:uid="{0A79E626-4062-4F82-8869-05923C78FE3F}" name="Descripción" dataDxfId="0"/>
    <tableColumn id="3" xr3:uid="{12088929-FE27-44C1-B7D5-AF6CD1031F40}" name="Fecha"/>
    <tableColumn id="4" xr3:uid="{13447F10-AA8F-43EE-9F6A-65353942D336}" name="N° comprobante"/>
    <tableColumn id="5" xr3:uid="{69700669-6796-4D69-A71F-3ADFC681F614}" name="Cantidad"/>
    <tableColumn id="6" xr3:uid="{1E77A974-1C9B-4FE4-AFED-E702C077346C}" name="Observación"/>
    <tableColumn id="7" xr3:uid="{CB812AAF-3E05-4308-A1AC-02A8D91DFD4D}" name="Valor"/>
    <tableColumn id="8" xr3:uid="{13A161EE-A381-4ED0-A738-232A8CBB1733}" name="ID MOVIMIENTO"/>
    <tableColumn id="9" xr3:uid="{5D2A5A98-5EA8-494A-ABF0-9C72ED76372A}" name="HOJA"/>
    <tableColumn id="10" xr3:uid="{7B0CB199-9E29-47DD-B30E-7EE9680E79C2}" name="FILA ORIGINAL"/>
    <tableColumn id="11" xr3:uid="{399B0322-8804-43CE-A66C-D20070514DD3}" name="FECHA / HOR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DCBD-9D68-45C9-B0EF-744A0939E91B}">
  <sheetPr codeName="Hoja1"/>
  <dimension ref="A2:I78"/>
  <sheetViews>
    <sheetView tabSelected="1" workbookViewId="0">
      <selection activeCell="A79" sqref="A79"/>
    </sheetView>
  </sheetViews>
  <sheetFormatPr baseColWidth="10" defaultRowHeight="15" x14ac:dyDescent="0.25"/>
  <cols>
    <col min="2" max="2" width="63.7109375" customWidth="1"/>
    <col min="3" max="3" width="15.140625" customWidth="1"/>
    <col min="4" max="4" width="13.5703125" customWidth="1"/>
    <col min="5" max="5" width="14.140625" customWidth="1"/>
    <col min="6" max="6" width="15.42578125" customWidth="1"/>
    <col min="7" max="7" width="16.28515625" customWidth="1"/>
    <col min="8" max="8" width="13.7109375" customWidth="1"/>
    <col min="9" max="9" width="24" customWidth="1"/>
  </cols>
  <sheetData>
    <row r="2" spans="1:9" ht="20.25" x14ac:dyDescent="0.3">
      <c r="B2" s="4" t="s">
        <v>94</v>
      </c>
    </row>
    <row r="4" spans="1:9" x14ac:dyDescent="0.25">
      <c r="A4" t="s">
        <v>0</v>
      </c>
      <c r="B4" t="s">
        <v>1</v>
      </c>
      <c r="C4" t="s">
        <v>104</v>
      </c>
      <c r="D4" t="s">
        <v>91</v>
      </c>
      <c r="E4" t="s">
        <v>92</v>
      </c>
      <c r="F4" t="s">
        <v>105</v>
      </c>
      <c r="G4" t="s">
        <v>86</v>
      </c>
      <c r="I4" t="s">
        <v>98</v>
      </c>
    </row>
    <row r="5" spans="1:9" x14ac:dyDescent="0.25">
      <c r="A5" t="s">
        <v>3</v>
      </c>
      <c r="B5" t="s">
        <v>4</v>
      </c>
      <c r="C5" t="s">
        <v>100</v>
      </c>
      <c r="D5">
        <v>0</v>
      </c>
      <c r="E5">
        <v>0</v>
      </c>
      <c r="F5">
        <v>0</v>
      </c>
      <c r="I5" t="str">
        <f>100000&amp;A5</f>
        <v>100000211-0078</v>
      </c>
    </row>
    <row r="6" spans="1:9" x14ac:dyDescent="0.25">
      <c r="A6" t="s">
        <v>5</v>
      </c>
      <c r="B6" t="s">
        <v>6</v>
      </c>
      <c r="C6" t="s">
        <v>99</v>
      </c>
      <c r="D6">
        <v>3</v>
      </c>
      <c r="E6">
        <v>1</v>
      </c>
      <c r="F6">
        <v>2</v>
      </c>
      <c r="I6" t="str">
        <f t="shared" ref="I6:I43" si="0">100000&amp;A6</f>
        <v>100000211-0080</v>
      </c>
    </row>
    <row r="7" spans="1:9" x14ac:dyDescent="0.25">
      <c r="A7" t="s">
        <v>7</v>
      </c>
      <c r="B7" t="s">
        <v>8</v>
      </c>
      <c r="C7" t="s">
        <v>99</v>
      </c>
      <c r="D7">
        <v>0</v>
      </c>
      <c r="E7">
        <v>0</v>
      </c>
      <c r="F7">
        <v>0</v>
      </c>
      <c r="I7" t="str">
        <f t="shared" si="0"/>
        <v>100000222-0293</v>
      </c>
    </row>
    <row r="8" spans="1:9" x14ac:dyDescent="0.25">
      <c r="A8" t="s">
        <v>9</v>
      </c>
      <c r="B8" t="s">
        <v>10</v>
      </c>
      <c r="C8" t="s">
        <v>99</v>
      </c>
      <c r="D8">
        <v>0</v>
      </c>
      <c r="E8">
        <v>0</v>
      </c>
      <c r="F8">
        <v>0</v>
      </c>
      <c r="I8" t="str">
        <f t="shared" si="0"/>
        <v>100000222-0456</v>
      </c>
    </row>
    <row r="9" spans="1:9" x14ac:dyDescent="0.25">
      <c r="A9" t="s">
        <v>11</v>
      </c>
      <c r="B9" t="s">
        <v>12</v>
      </c>
      <c r="C9" t="s">
        <v>99</v>
      </c>
      <c r="D9">
        <v>0</v>
      </c>
      <c r="E9">
        <v>0</v>
      </c>
      <c r="F9">
        <v>0</v>
      </c>
      <c r="I9" t="str">
        <f t="shared" si="0"/>
        <v>100000222-0896</v>
      </c>
    </row>
    <row r="10" spans="1:9" x14ac:dyDescent="0.25">
      <c r="A10" t="s">
        <v>13</v>
      </c>
      <c r="B10" t="s">
        <v>14</v>
      </c>
      <c r="C10" t="s">
        <v>99</v>
      </c>
      <c r="D10">
        <v>0</v>
      </c>
      <c r="E10">
        <v>0</v>
      </c>
      <c r="F10">
        <v>0</v>
      </c>
      <c r="I10" t="str">
        <f t="shared" si="0"/>
        <v>100000224-0540</v>
      </c>
    </row>
    <row r="11" spans="1:9" x14ac:dyDescent="0.25">
      <c r="A11" t="s">
        <v>15</v>
      </c>
      <c r="B11" t="s">
        <v>16</v>
      </c>
      <c r="C11" t="s">
        <v>99</v>
      </c>
      <c r="D11">
        <v>0</v>
      </c>
      <c r="E11">
        <v>0</v>
      </c>
      <c r="F11">
        <v>0</v>
      </c>
      <c r="I11" t="str">
        <f t="shared" si="0"/>
        <v>100000224-0624</v>
      </c>
    </row>
    <row r="12" spans="1:9" x14ac:dyDescent="0.25">
      <c r="A12" t="s">
        <v>17</v>
      </c>
      <c r="B12" t="s">
        <v>18</v>
      </c>
      <c r="C12" t="s">
        <v>101</v>
      </c>
      <c r="D12">
        <v>0</v>
      </c>
      <c r="E12">
        <v>0</v>
      </c>
      <c r="F12">
        <v>0</v>
      </c>
      <c r="I12" t="str">
        <f t="shared" si="0"/>
        <v>100000225-0128</v>
      </c>
    </row>
    <row r="13" spans="1:9" x14ac:dyDescent="0.25">
      <c r="A13" t="s">
        <v>19</v>
      </c>
      <c r="B13" t="s">
        <v>20</v>
      </c>
      <c r="C13" t="s">
        <v>99</v>
      </c>
      <c r="D13">
        <v>0</v>
      </c>
      <c r="E13">
        <v>0</v>
      </c>
      <c r="F13">
        <v>0</v>
      </c>
      <c r="I13" t="str">
        <f t="shared" si="0"/>
        <v>100000225-0136</v>
      </c>
    </row>
    <row r="14" spans="1:9" x14ac:dyDescent="0.25">
      <c r="A14" t="s">
        <v>21</v>
      </c>
      <c r="B14" t="s">
        <v>22</v>
      </c>
      <c r="C14" t="s">
        <v>101</v>
      </c>
      <c r="D14">
        <v>0</v>
      </c>
      <c r="E14">
        <v>0</v>
      </c>
      <c r="F14">
        <v>0</v>
      </c>
      <c r="I14" t="str">
        <f t="shared" si="0"/>
        <v>100000225-0142</v>
      </c>
    </row>
    <row r="15" spans="1:9" x14ac:dyDescent="0.25">
      <c r="A15" t="s">
        <v>23</v>
      </c>
      <c r="B15" t="s">
        <v>24</v>
      </c>
      <c r="C15" t="s">
        <v>101</v>
      </c>
      <c r="D15">
        <v>0</v>
      </c>
      <c r="E15">
        <v>0</v>
      </c>
      <c r="F15">
        <v>0</v>
      </c>
      <c r="I15" t="str">
        <f t="shared" si="0"/>
        <v>100000225-0143</v>
      </c>
    </row>
    <row r="16" spans="1:9" x14ac:dyDescent="0.25">
      <c r="A16" t="s">
        <v>25</v>
      </c>
      <c r="B16" t="s">
        <v>26</v>
      </c>
      <c r="C16" t="s">
        <v>102</v>
      </c>
      <c r="D16">
        <v>3</v>
      </c>
      <c r="E16">
        <v>0</v>
      </c>
      <c r="F16">
        <v>3</v>
      </c>
      <c r="I16" t="str">
        <f t="shared" si="0"/>
        <v>100000225-0145</v>
      </c>
    </row>
    <row r="17" spans="1:9" x14ac:dyDescent="0.25">
      <c r="A17" t="s">
        <v>27</v>
      </c>
      <c r="B17" t="s">
        <v>28</v>
      </c>
      <c r="C17" t="s">
        <v>102</v>
      </c>
      <c r="D17">
        <v>0</v>
      </c>
      <c r="E17">
        <v>0</v>
      </c>
      <c r="F17">
        <v>0</v>
      </c>
      <c r="I17" t="str">
        <f t="shared" si="0"/>
        <v>100000225-0146</v>
      </c>
    </row>
    <row r="18" spans="1:9" x14ac:dyDescent="0.25">
      <c r="A18" t="s">
        <v>29</v>
      </c>
      <c r="B18" t="s">
        <v>30</v>
      </c>
      <c r="C18" t="s">
        <v>102</v>
      </c>
      <c r="D18">
        <v>0</v>
      </c>
      <c r="E18">
        <v>0</v>
      </c>
      <c r="F18">
        <v>0</v>
      </c>
      <c r="I18" t="str">
        <f t="shared" si="0"/>
        <v>100000225-0147</v>
      </c>
    </row>
    <row r="19" spans="1:9" x14ac:dyDescent="0.25">
      <c r="A19" t="s">
        <v>31</v>
      </c>
      <c r="B19" t="s">
        <v>32</v>
      </c>
      <c r="C19" t="s">
        <v>99</v>
      </c>
      <c r="D19">
        <v>0</v>
      </c>
      <c r="E19">
        <v>0</v>
      </c>
      <c r="F19">
        <v>0</v>
      </c>
      <c r="I19" t="str">
        <f t="shared" si="0"/>
        <v>100000225-0236</v>
      </c>
    </row>
    <row r="20" spans="1:9" x14ac:dyDescent="0.25">
      <c r="A20" t="s">
        <v>33</v>
      </c>
      <c r="B20" t="s">
        <v>34</v>
      </c>
      <c r="C20" t="s">
        <v>101</v>
      </c>
      <c r="D20">
        <v>0</v>
      </c>
      <c r="E20">
        <v>0</v>
      </c>
      <c r="F20">
        <v>0</v>
      </c>
      <c r="I20" t="str">
        <f t="shared" si="0"/>
        <v>100000225-0286</v>
      </c>
    </row>
    <row r="21" spans="1:9" x14ac:dyDescent="0.25">
      <c r="A21" t="s">
        <v>35</v>
      </c>
      <c r="B21" t="s">
        <v>36</v>
      </c>
      <c r="C21" t="s">
        <v>99</v>
      </c>
      <c r="D21">
        <v>0</v>
      </c>
      <c r="E21">
        <v>0</v>
      </c>
      <c r="F21">
        <v>0</v>
      </c>
      <c r="I21" t="str">
        <f t="shared" si="0"/>
        <v>100000225-0380</v>
      </c>
    </row>
    <row r="22" spans="1:9" x14ac:dyDescent="0.25">
      <c r="A22" t="s">
        <v>37</v>
      </c>
      <c r="B22" t="s">
        <v>38</v>
      </c>
      <c r="C22" t="s">
        <v>99</v>
      </c>
      <c r="D22">
        <v>0</v>
      </c>
      <c r="E22">
        <v>0</v>
      </c>
      <c r="F22">
        <v>0</v>
      </c>
      <c r="I22" t="str">
        <f t="shared" si="0"/>
        <v>100000225-0381</v>
      </c>
    </row>
    <row r="23" spans="1:9" x14ac:dyDescent="0.25">
      <c r="A23" t="s">
        <v>39</v>
      </c>
      <c r="B23" t="s">
        <v>40</v>
      </c>
      <c r="C23" t="s">
        <v>99</v>
      </c>
      <c r="D23">
        <v>0</v>
      </c>
      <c r="E23">
        <v>0</v>
      </c>
      <c r="F23">
        <v>0</v>
      </c>
      <c r="I23" t="str">
        <f t="shared" si="0"/>
        <v>100000225-0382</v>
      </c>
    </row>
    <row r="24" spans="1:9" x14ac:dyDescent="0.25">
      <c r="A24" t="s">
        <v>41</v>
      </c>
      <c r="B24" t="s">
        <v>42</v>
      </c>
      <c r="C24" t="s">
        <v>99</v>
      </c>
      <c r="D24">
        <v>0</v>
      </c>
      <c r="E24">
        <v>0</v>
      </c>
      <c r="F24">
        <v>0</v>
      </c>
      <c r="I24" t="str">
        <f t="shared" si="0"/>
        <v>100000225-0392</v>
      </c>
    </row>
    <row r="25" spans="1:9" x14ac:dyDescent="0.25">
      <c r="A25" t="s">
        <v>43</v>
      </c>
      <c r="B25" t="s">
        <v>44</v>
      </c>
      <c r="C25" t="s">
        <v>99</v>
      </c>
      <c r="D25">
        <v>0</v>
      </c>
      <c r="E25">
        <v>0</v>
      </c>
      <c r="F25">
        <v>0</v>
      </c>
      <c r="I25" t="str">
        <f t="shared" si="0"/>
        <v>100000225-0406</v>
      </c>
    </row>
    <row r="26" spans="1:9" x14ac:dyDescent="0.25">
      <c r="A26" t="s">
        <v>45</v>
      </c>
      <c r="B26" t="s">
        <v>46</v>
      </c>
      <c r="C26" t="s">
        <v>101</v>
      </c>
      <c r="D26">
        <v>0</v>
      </c>
      <c r="E26">
        <v>0</v>
      </c>
      <c r="F26">
        <v>0</v>
      </c>
      <c r="I26" t="str">
        <f t="shared" si="0"/>
        <v>100000225-0629</v>
      </c>
    </row>
    <row r="27" spans="1:9" x14ac:dyDescent="0.25">
      <c r="A27" t="s">
        <v>47</v>
      </c>
      <c r="B27" t="s">
        <v>48</v>
      </c>
      <c r="C27" t="s">
        <v>99</v>
      </c>
      <c r="D27">
        <v>0</v>
      </c>
      <c r="E27">
        <v>0</v>
      </c>
      <c r="F27">
        <v>0</v>
      </c>
      <c r="I27" t="str">
        <f t="shared" si="0"/>
        <v>100000225-0635</v>
      </c>
    </row>
    <row r="28" spans="1:9" x14ac:dyDescent="0.25">
      <c r="A28" t="s">
        <v>49</v>
      </c>
      <c r="B28" t="s">
        <v>50</v>
      </c>
      <c r="C28" t="s">
        <v>99</v>
      </c>
      <c r="D28">
        <v>0</v>
      </c>
      <c r="E28">
        <v>0</v>
      </c>
      <c r="F28">
        <v>0</v>
      </c>
      <c r="I28" t="str">
        <f t="shared" si="0"/>
        <v>100000225-0636</v>
      </c>
    </row>
    <row r="29" spans="1:9" x14ac:dyDescent="0.25">
      <c r="A29" t="s">
        <v>51</v>
      </c>
      <c r="B29" t="s">
        <v>52</v>
      </c>
      <c r="C29" t="s">
        <v>99</v>
      </c>
      <c r="D29">
        <v>0</v>
      </c>
      <c r="E29">
        <v>0</v>
      </c>
      <c r="F29">
        <v>0</v>
      </c>
      <c r="I29" t="str">
        <f t="shared" si="0"/>
        <v>100000225-0638</v>
      </c>
    </row>
    <row r="30" spans="1:9" x14ac:dyDescent="0.25">
      <c r="A30" t="s">
        <v>53</v>
      </c>
      <c r="B30" t="s">
        <v>54</v>
      </c>
      <c r="C30" t="s">
        <v>99</v>
      </c>
      <c r="D30">
        <v>5</v>
      </c>
      <c r="E30">
        <v>0</v>
      </c>
      <c r="F30">
        <v>5</v>
      </c>
      <c r="I30" t="str">
        <f t="shared" si="0"/>
        <v>100000225-0670</v>
      </c>
    </row>
    <row r="31" spans="1:9" x14ac:dyDescent="0.25">
      <c r="A31" t="s">
        <v>55</v>
      </c>
      <c r="B31" t="s">
        <v>56</v>
      </c>
      <c r="C31" t="s">
        <v>99</v>
      </c>
      <c r="D31">
        <v>0</v>
      </c>
      <c r="E31">
        <v>0</v>
      </c>
      <c r="F31">
        <v>0</v>
      </c>
      <c r="I31" t="str">
        <f t="shared" si="0"/>
        <v>100000225-0871</v>
      </c>
    </row>
    <row r="32" spans="1:9" x14ac:dyDescent="0.25">
      <c r="A32" t="s">
        <v>57</v>
      </c>
      <c r="B32" t="s">
        <v>58</v>
      </c>
      <c r="C32" t="s">
        <v>99</v>
      </c>
      <c r="D32">
        <v>0</v>
      </c>
      <c r="E32">
        <v>0</v>
      </c>
      <c r="F32">
        <v>0</v>
      </c>
      <c r="I32" t="str">
        <f t="shared" si="0"/>
        <v>100000241-0264</v>
      </c>
    </row>
    <row r="33" spans="1:9" x14ac:dyDescent="0.25">
      <c r="A33" t="s">
        <v>59</v>
      </c>
      <c r="B33" t="s">
        <v>60</v>
      </c>
      <c r="C33" t="s">
        <v>103</v>
      </c>
      <c r="D33">
        <v>0</v>
      </c>
      <c r="E33">
        <v>0</v>
      </c>
      <c r="F33">
        <v>0</v>
      </c>
      <c r="I33" t="str">
        <f t="shared" si="0"/>
        <v>100000244-0083</v>
      </c>
    </row>
    <row r="34" spans="1:9" x14ac:dyDescent="0.25">
      <c r="A34" t="s">
        <v>61</v>
      </c>
      <c r="B34" t="s">
        <v>62</v>
      </c>
      <c r="C34" t="s">
        <v>99</v>
      </c>
      <c r="D34">
        <v>0</v>
      </c>
      <c r="E34">
        <v>0</v>
      </c>
      <c r="F34">
        <v>0</v>
      </c>
      <c r="I34" t="str">
        <f t="shared" si="0"/>
        <v>100000252-1449</v>
      </c>
    </row>
    <row r="35" spans="1:9" x14ac:dyDescent="0.25">
      <c r="A35" t="s">
        <v>63</v>
      </c>
      <c r="B35" t="s">
        <v>64</v>
      </c>
      <c r="C35" t="s">
        <v>99</v>
      </c>
      <c r="D35">
        <v>0</v>
      </c>
      <c r="E35">
        <v>0</v>
      </c>
      <c r="F35">
        <v>0</v>
      </c>
      <c r="I35" t="str">
        <f t="shared" si="0"/>
        <v>100000340-0238</v>
      </c>
    </row>
    <row r="36" spans="1:9" x14ac:dyDescent="0.25">
      <c r="A36" t="s">
        <v>65</v>
      </c>
      <c r="B36" t="s">
        <v>66</v>
      </c>
      <c r="C36" t="s">
        <v>99</v>
      </c>
      <c r="D36">
        <v>0</v>
      </c>
      <c r="E36">
        <v>0</v>
      </c>
      <c r="F36">
        <v>0</v>
      </c>
      <c r="I36" t="str">
        <f t="shared" si="0"/>
        <v>100000340-0376</v>
      </c>
    </row>
    <row r="37" spans="1:9" x14ac:dyDescent="0.25">
      <c r="A37" t="s">
        <v>67</v>
      </c>
      <c r="B37" t="s">
        <v>68</v>
      </c>
      <c r="C37" t="s">
        <v>99</v>
      </c>
      <c r="D37">
        <v>0</v>
      </c>
      <c r="E37">
        <v>0</v>
      </c>
      <c r="F37">
        <v>0</v>
      </c>
      <c r="I37" t="str">
        <f t="shared" si="0"/>
        <v>100000340-1569</v>
      </c>
    </row>
    <row r="38" spans="1:9" x14ac:dyDescent="0.25">
      <c r="A38" t="s">
        <v>69</v>
      </c>
      <c r="B38" t="s">
        <v>70</v>
      </c>
      <c r="C38" t="s">
        <v>99</v>
      </c>
      <c r="D38">
        <v>0</v>
      </c>
      <c r="E38">
        <v>0</v>
      </c>
      <c r="F38">
        <v>0</v>
      </c>
      <c r="I38" t="str">
        <f t="shared" si="0"/>
        <v>100000340-2293</v>
      </c>
    </row>
    <row r="39" spans="1:9" x14ac:dyDescent="0.25">
      <c r="A39" t="s">
        <v>71</v>
      </c>
      <c r="B39" t="s">
        <v>72</v>
      </c>
      <c r="C39" t="s">
        <v>99</v>
      </c>
      <c r="D39">
        <v>0</v>
      </c>
      <c r="E39">
        <v>0</v>
      </c>
      <c r="F39">
        <v>0</v>
      </c>
      <c r="I39" t="str">
        <f t="shared" si="0"/>
        <v>100000340-2387</v>
      </c>
    </row>
    <row r="40" spans="1:9" x14ac:dyDescent="0.25">
      <c r="A40" t="s">
        <v>73</v>
      </c>
      <c r="B40" t="s">
        <v>74</v>
      </c>
      <c r="C40" t="s">
        <v>99</v>
      </c>
      <c r="D40">
        <v>0</v>
      </c>
      <c r="E40">
        <v>0</v>
      </c>
      <c r="F40">
        <v>0</v>
      </c>
      <c r="I40" t="str">
        <f t="shared" si="0"/>
        <v>100000340-2389</v>
      </c>
    </row>
    <row r="41" spans="1:9" x14ac:dyDescent="0.25">
      <c r="A41" t="s">
        <v>75</v>
      </c>
      <c r="B41" t="s">
        <v>76</v>
      </c>
      <c r="C41" t="s">
        <v>99</v>
      </c>
      <c r="D41">
        <v>0</v>
      </c>
      <c r="E41">
        <v>0</v>
      </c>
      <c r="F41">
        <v>0</v>
      </c>
      <c r="I41" t="str">
        <f t="shared" si="0"/>
        <v>100000340-2925</v>
      </c>
    </row>
    <row r="42" spans="1:9" x14ac:dyDescent="0.25">
      <c r="A42" t="s">
        <v>77</v>
      </c>
      <c r="B42" t="s">
        <v>78</v>
      </c>
      <c r="C42" t="s">
        <v>106</v>
      </c>
      <c r="D42">
        <v>0</v>
      </c>
      <c r="E42">
        <v>0</v>
      </c>
      <c r="F42">
        <v>0</v>
      </c>
      <c r="I42" t="str">
        <f t="shared" si="0"/>
        <v>100000347-0041</v>
      </c>
    </row>
    <row r="43" spans="1:9" x14ac:dyDescent="0.25">
      <c r="A43" t="s">
        <v>93</v>
      </c>
      <c r="B43" t="s">
        <v>95</v>
      </c>
      <c r="C43" t="s">
        <v>99</v>
      </c>
      <c r="D43" s="3">
        <v>2</v>
      </c>
      <c r="E43" s="3">
        <v>0</v>
      </c>
      <c r="F43" s="3">
        <v>2</v>
      </c>
      <c r="I43" t="str">
        <f t="shared" si="0"/>
        <v>100000100-0104</v>
      </c>
    </row>
    <row r="44" spans="1:9" x14ac:dyDescent="0.25">
      <c r="A44" t="s">
        <v>109</v>
      </c>
      <c r="B44" t="s">
        <v>110</v>
      </c>
      <c r="C44" t="s">
        <v>111</v>
      </c>
      <c r="D44" s="3">
        <v>0</v>
      </c>
      <c r="E44" s="3">
        <v>0</v>
      </c>
      <c r="F44" s="3">
        <v>0</v>
      </c>
    </row>
    <row r="45" spans="1:9" x14ac:dyDescent="0.25">
      <c r="A45" t="s">
        <v>112</v>
      </c>
      <c r="B45" t="s">
        <v>113</v>
      </c>
      <c r="C45" t="s">
        <v>99</v>
      </c>
      <c r="D45" s="3">
        <v>0</v>
      </c>
      <c r="E45" s="3">
        <v>0</v>
      </c>
      <c r="F45" s="3">
        <v>0</v>
      </c>
    </row>
    <row r="46" spans="1:9" x14ac:dyDescent="0.25">
      <c r="A46" t="s">
        <v>114</v>
      </c>
      <c r="B46" t="s">
        <v>115</v>
      </c>
      <c r="C46" t="s">
        <v>116</v>
      </c>
      <c r="D46" s="3">
        <v>0</v>
      </c>
      <c r="E46" s="3">
        <v>0</v>
      </c>
      <c r="F46" s="3">
        <v>0</v>
      </c>
    </row>
    <row r="47" spans="1:9" x14ac:dyDescent="0.25">
      <c r="A47" t="s">
        <v>117</v>
      </c>
      <c r="B47" t="s">
        <v>118</v>
      </c>
      <c r="C47" t="s">
        <v>99</v>
      </c>
      <c r="D47" s="3">
        <v>0</v>
      </c>
      <c r="E47" s="3">
        <v>0</v>
      </c>
      <c r="F47" s="3">
        <v>0</v>
      </c>
    </row>
    <row r="48" spans="1:9" x14ac:dyDescent="0.25">
      <c r="A48" t="s">
        <v>119</v>
      </c>
      <c r="B48" t="s">
        <v>120</v>
      </c>
      <c r="C48" t="s">
        <v>99</v>
      </c>
      <c r="D48" s="3">
        <v>0</v>
      </c>
      <c r="E48" s="3">
        <v>0</v>
      </c>
      <c r="F48" s="3">
        <v>0</v>
      </c>
    </row>
    <row r="49" spans="1:6" x14ac:dyDescent="0.25">
      <c r="A49" t="s">
        <v>121</v>
      </c>
      <c r="B49" t="s">
        <v>122</v>
      </c>
      <c r="C49" t="s">
        <v>116</v>
      </c>
      <c r="D49" s="3">
        <v>0</v>
      </c>
      <c r="E49" s="3">
        <v>0</v>
      </c>
      <c r="F49" s="3">
        <v>0</v>
      </c>
    </row>
    <row r="50" spans="1:6" x14ac:dyDescent="0.25">
      <c r="A50" t="s">
        <v>123</v>
      </c>
      <c r="B50" t="s">
        <v>124</v>
      </c>
      <c r="C50" t="s">
        <v>116</v>
      </c>
      <c r="D50" s="3">
        <v>0</v>
      </c>
      <c r="E50" s="3">
        <v>0</v>
      </c>
      <c r="F50" s="3">
        <v>0</v>
      </c>
    </row>
    <row r="51" spans="1:6" x14ac:dyDescent="0.25">
      <c r="A51" t="s">
        <v>125</v>
      </c>
      <c r="B51" t="s">
        <v>126</v>
      </c>
      <c r="C51" t="s">
        <v>99</v>
      </c>
      <c r="D51" s="3">
        <v>0</v>
      </c>
      <c r="E51" s="3">
        <v>0</v>
      </c>
      <c r="F51" s="3">
        <v>0</v>
      </c>
    </row>
    <row r="52" spans="1:6" x14ac:dyDescent="0.25">
      <c r="A52" t="s">
        <v>127</v>
      </c>
      <c r="B52" t="s">
        <v>128</v>
      </c>
      <c r="C52" t="s">
        <v>99</v>
      </c>
      <c r="D52" s="3">
        <v>0</v>
      </c>
      <c r="E52" s="3">
        <v>0</v>
      </c>
      <c r="F52" s="3">
        <v>0</v>
      </c>
    </row>
    <row r="53" spans="1:6" x14ac:dyDescent="0.25">
      <c r="A53" t="s">
        <v>129</v>
      </c>
      <c r="B53" t="s">
        <v>130</v>
      </c>
      <c r="C53" t="s">
        <v>131</v>
      </c>
      <c r="D53" s="3">
        <v>0</v>
      </c>
      <c r="E53" s="3">
        <v>0</v>
      </c>
      <c r="F53" s="3">
        <v>0</v>
      </c>
    </row>
    <row r="54" spans="1:6" x14ac:dyDescent="0.25">
      <c r="A54" t="s">
        <v>132</v>
      </c>
      <c r="B54" t="s">
        <v>133</v>
      </c>
      <c r="C54" t="s">
        <v>99</v>
      </c>
      <c r="D54" s="3">
        <v>0</v>
      </c>
      <c r="E54" s="3">
        <v>0</v>
      </c>
      <c r="F54" s="3">
        <v>0</v>
      </c>
    </row>
    <row r="55" spans="1:6" x14ac:dyDescent="0.25">
      <c r="A55" t="s">
        <v>134</v>
      </c>
      <c r="B55" t="s">
        <v>135</v>
      </c>
      <c r="C55" t="s">
        <v>99</v>
      </c>
      <c r="D55" s="3">
        <v>0</v>
      </c>
      <c r="E55" s="3">
        <v>0</v>
      </c>
      <c r="F55" s="3">
        <v>0</v>
      </c>
    </row>
    <row r="56" spans="1:6" x14ac:dyDescent="0.25">
      <c r="A56" t="s">
        <v>136</v>
      </c>
      <c r="B56" t="s">
        <v>137</v>
      </c>
      <c r="C56" t="s">
        <v>116</v>
      </c>
      <c r="D56" s="3">
        <v>0</v>
      </c>
      <c r="E56" s="3">
        <v>0</v>
      </c>
      <c r="F56" s="3">
        <v>0</v>
      </c>
    </row>
    <row r="57" spans="1:6" x14ac:dyDescent="0.25">
      <c r="A57" t="s">
        <v>138</v>
      </c>
      <c r="B57" t="s">
        <v>139</v>
      </c>
      <c r="C57" t="s">
        <v>99</v>
      </c>
      <c r="D57" s="3">
        <v>0</v>
      </c>
      <c r="E57" s="3">
        <v>0</v>
      </c>
      <c r="F57" s="3">
        <v>0</v>
      </c>
    </row>
    <row r="58" spans="1:6" x14ac:dyDescent="0.25">
      <c r="A58" t="s">
        <v>140</v>
      </c>
      <c r="B58" t="s">
        <v>141</v>
      </c>
      <c r="C58" t="s">
        <v>131</v>
      </c>
      <c r="D58" s="3">
        <v>0</v>
      </c>
      <c r="E58" s="3">
        <v>0</v>
      </c>
      <c r="F58" s="3">
        <v>0</v>
      </c>
    </row>
    <row r="59" spans="1:6" x14ac:dyDescent="0.25">
      <c r="A59" t="s">
        <v>142</v>
      </c>
      <c r="B59" t="s">
        <v>143</v>
      </c>
      <c r="C59" t="s">
        <v>144</v>
      </c>
      <c r="D59" s="3">
        <v>0</v>
      </c>
      <c r="E59" s="3">
        <v>0</v>
      </c>
      <c r="F59" s="3">
        <v>0</v>
      </c>
    </row>
    <row r="60" spans="1:6" x14ac:dyDescent="0.25">
      <c r="A60" t="s">
        <v>145</v>
      </c>
      <c r="B60" t="s">
        <v>146</v>
      </c>
      <c r="C60" t="s">
        <v>99</v>
      </c>
      <c r="D60" s="3">
        <v>0</v>
      </c>
      <c r="E60" s="3">
        <v>0</v>
      </c>
      <c r="F60" s="3">
        <v>0</v>
      </c>
    </row>
    <row r="61" spans="1:6" x14ac:dyDescent="0.25">
      <c r="A61" t="s">
        <v>151</v>
      </c>
      <c r="B61" t="s">
        <v>148</v>
      </c>
      <c r="C61" t="s">
        <v>131</v>
      </c>
      <c r="D61" s="3">
        <v>0</v>
      </c>
      <c r="E61" s="3">
        <v>0</v>
      </c>
      <c r="F61" s="3">
        <v>0</v>
      </c>
    </row>
    <row r="62" spans="1:6" x14ac:dyDescent="0.25">
      <c r="A62" t="s">
        <v>147</v>
      </c>
      <c r="B62" t="s">
        <v>150</v>
      </c>
      <c r="C62" t="s">
        <v>116</v>
      </c>
      <c r="D62" s="3">
        <v>0</v>
      </c>
      <c r="E62" s="3">
        <v>0</v>
      </c>
      <c r="F62" s="3">
        <v>0</v>
      </c>
    </row>
    <row r="63" spans="1:6" x14ac:dyDescent="0.25">
      <c r="A63" t="s">
        <v>149</v>
      </c>
      <c r="B63" t="s">
        <v>152</v>
      </c>
      <c r="C63" t="s">
        <v>99</v>
      </c>
      <c r="D63" s="3">
        <v>0</v>
      </c>
      <c r="E63" s="3">
        <v>0</v>
      </c>
      <c r="F63" s="3">
        <v>0</v>
      </c>
    </row>
    <row r="64" spans="1:6" x14ac:dyDescent="0.25">
      <c r="A64" t="s">
        <v>153</v>
      </c>
      <c r="B64" t="s">
        <v>154</v>
      </c>
      <c r="C64" t="s">
        <v>99</v>
      </c>
      <c r="D64" s="3">
        <v>0</v>
      </c>
      <c r="E64" s="3">
        <v>0</v>
      </c>
      <c r="F64" s="3">
        <v>0</v>
      </c>
    </row>
    <row r="65" spans="1:6" x14ac:dyDescent="0.25">
      <c r="A65" t="s">
        <v>155</v>
      </c>
      <c r="B65" t="s">
        <v>156</v>
      </c>
      <c r="C65" t="s">
        <v>157</v>
      </c>
      <c r="D65" s="3">
        <v>0</v>
      </c>
      <c r="E65" s="3">
        <v>0</v>
      </c>
      <c r="F65" s="3">
        <v>0</v>
      </c>
    </row>
    <row r="66" spans="1:6" x14ac:dyDescent="0.25">
      <c r="A66" t="s">
        <v>158</v>
      </c>
      <c r="B66" t="s">
        <v>159</v>
      </c>
      <c r="C66" t="s">
        <v>99</v>
      </c>
      <c r="D66" s="3">
        <v>0</v>
      </c>
      <c r="E66" s="3">
        <v>0</v>
      </c>
      <c r="F66" s="3">
        <v>0</v>
      </c>
    </row>
    <row r="67" spans="1:6" x14ac:dyDescent="0.25">
      <c r="A67" t="s">
        <v>160</v>
      </c>
      <c r="B67" t="s">
        <v>161</v>
      </c>
      <c r="C67" t="s">
        <v>101</v>
      </c>
      <c r="D67" s="3">
        <v>0</v>
      </c>
      <c r="E67" s="3">
        <v>0</v>
      </c>
      <c r="F67" s="3">
        <v>0</v>
      </c>
    </row>
    <row r="68" spans="1:6" x14ac:dyDescent="0.25">
      <c r="A68" t="s">
        <v>162</v>
      </c>
      <c r="B68" t="s">
        <v>163</v>
      </c>
      <c r="C68" t="s">
        <v>157</v>
      </c>
      <c r="D68" s="3">
        <v>0</v>
      </c>
      <c r="E68" s="3">
        <v>0</v>
      </c>
      <c r="F68" s="3">
        <v>0</v>
      </c>
    </row>
    <row r="69" spans="1:6" x14ac:dyDescent="0.25">
      <c r="A69" t="s">
        <v>164</v>
      </c>
      <c r="B69" t="s">
        <v>165</v>
      </c>
      <c r="C69" t="s">
        <v>157</v>
      </c>
      <c r="D69" s="3">
        <v>0</v>
      </c>
      <c r="E69" s="3">
        <v>0</v>
      </c>
      <c r="F69" s="3">
        <v>0</v>
      </c>
    </row>
    <row r="70" spans="1:6" x14ac:dyDescent="0.25">
      <c r="A70" t="s">
        <v>166</v>
      </c>
      <c r="B70" t="s">
        <v>167</v>
      </c>
      <c r="C70" t="s">
        <v>157</v>
      </c>
      <c r="D70" s="3">
        <v>0</v>
      </c>
      <c r="E70" s="3">
        <v>0</v>
      </c>
      <c r="F70" s="3">
        <v>0</v>
      </c>
    </row>
    <row r="71" spans="1:6" x14ac:dyDescent="0.25">
      <c r="A71" t="s">
        <v>168</v>
      </c>
      <c r="B71" t="s">
        <v>169</v>
      </c>
      <c r="C71" t="s">
        <v>116</v>
      </c>
      <c r="D71" s="3">
        <v>0</v>
      </c>
      <c r="E71" s="3">
        <v>0</v>
      </c>
      <c r="F71" s="3">
        <v>0</v>
      </c>
    </row>
    <row r="72" spans="1:6" x14ac:dyDescent="0.25">
      <c r="A72" t="s">
        <v>170</v>
      </c>
      <c r="B72" t="s">
        <v>171</v>
      </c>
      <c r="C72" t="s">
        <v>99</v>
      </c>
      <c r="D72" s="3">
        <v>0</v>
      </c>
      <c r="E72" s="3">
        <v>0</v>
      </c>
      <c r="F72" s="3">
        <v>0</v>
      </c>
    </row>
    <row r="73" spans="1:6" x14ac:dyDescent="0.25">
      <c r="A73" t="s">
        <v>172</v>
      </c>
      <c r="B73" t="s">
        <v>173</v>
      </c>
      <c r="C73" t="s">
        <v>174</v>
      </c>
      <c r="D73" s="3">
        <v>0</v>
      </c>
      <c r="E73" s="3">
        <v>0</v>
      </c>
      <c r="F73" s="3">
        <v>0</v>
      </c>
    </row>
    <row r="74" spans="1:6" x14ac:dyDescent="0.25">
      <c r="A74" t="s">
        <v>175</v>
      </c>
      <c r="B74" t="s">
        <v>176</v>
      </c>
      <c r="C74" t="s">
        <v>177</v>
      </c>
      <c r="D74" s="3">
        <v>0</v>
      </c>
      <c r="E74" s="3">
        <v>0</v>
      </c>
      <c r="F74" s="3">
        <v>0</v>
      </c>
    </row>
    <row r="75" spans="1:6" x14ac:dyDescent="0.25">
      <c r="A75" t="s">
        <v>178</v>
      </c>
      <c r="B75" t="s">
        <v>179</v>
      </c>
      <c r="C75" t="s">
        <v>144</v>
      </c>
      <c r="D75" s="3">
        <v>0</v>
      </c>
      <c r="E75" s="3">
        <v>0</v>
      </c>
      <c r="F75" s="3">
        <v>0</v>
      </c>
    </row>
    <row r="76" spans="1:6" x14ac:dyDescent="0.25">
      <c r="A76" t="s">
        <v>180</v>
      </c>
      <c r="B76" t="s">
        <v>181</v>
      </c>
      <c r="C76" t="s">
        <v>157</v>
      </c>
      <c r="D76" s="3">
        <v>0</v>
      </c>
      <c r="E76" s="3">
        <v>0</v>
      </c>
      <c r="F76" s="3">
        <v>0</v>
      </c>
    </row>
    <row r="77" spans="1:6" x14ac:dyDescent="0.25">
      <c r="A77" t="s">
        <v>182</v>
      </c>
      <c r="B77" t="s">
        <v>183</v>
      </c>
      <c r="C77" t="s">
        <v>99</v>
      </c>
      <c r="D77" s="3">
        <v>1</v>
      </c>
      <c r="E77" s="3">
        <v>0</v>
      </c>
      <c r="F77" s="3">
        <v>1</v>
      </c>
    </row>
    <row r="78" spans="1:6" x14ac:dyDescent="0.25">
      <c r="A78" t="s">
        <v>184</v>
      </c>
      <c r="B78" t="s">
        <v>185</v>
      </c>
      <c r="C78" t="s">
        <v>99</v>
      </c>
      <c r="D78" s="3">
        <v>0</v>
      </c>
      <c r="E78" s="3">
        <v>0</v>
      </c>
      <c r="F78" s="3">
        <v>0</v>
      </c>
    </row>
  </sheetData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B3379-1C58-4D4F-B923-F6248831120A}">
  <sheetPr codeName="Hoja2"/>
  <dimension ref="A3:G9"/>
  <sheetViews>
    <sheetView workbookViewId="0">
      <selection activeCell="F9" sqref="F9"/>
    </sheetView>
  </sheetViews>
  <sheetFormatPr baseColWidth="10" defaultRowHeight="15" x14ac:dyDescent="0.25"/>
  <cols>
    <col min="1" max="1" width="12.85546875" customWidth="1"/>
    <col min="2" max="2" width="50.42578125" customWidth="1"/>
    <col min="3" max="3" width="16.140625" customWidth="1"/>
    <col min="4" max="4" width="20.42578125" customWidth="1"/>
    <col min="5" max="5" width="15.140625" customWidth="1"/>
    <col min="6" max="6" width="22.140625" customWidth="1"/>
    <col min="7" max="7" width="17" customWidth="1"/>
  </cols>
  <sheetData>
    <row r="3" spans="1:7" ht="42.95" customHeight="1" x14ac:dyDescent="0.25"/>
    <row r="4" spans="1:7" x14ac:dyDescent="0.25">
      <c r="A4" t="s">
        <v>81</v>
      </c>
      <c r="B4" t="s">
        <v>82</v>
      </c>
      <c r="C4" t="s">
        <v>80</v>
      </c>
      <c r="D4" t="s">
        <v>79</v>
      </c>
      <c r="E4" t="s">
        <v>83</v>
      </c>
      <c r="F4" t="s">
        <v>85</v>
      </c>
      <c r="G4" t="s">
        <v>86</v>
      </c>
    </row>
    <row r="5" spans="1:7" x14ac:dyDescent="0.25">
      <c r="A5" t="s">
        <v>25</v>
      </c>
      <c r="B5" t="s">
        <v>26</v>
      </c>
      <c r="C5" s="1">
        <v>46273</v>
      </c>
      <c r="D5">
        <v>4941</v>
      </c>
      <c r="E5">
        <v>3</v>
      </c>
      <c r="F5" t="s">
        <v>96</v>
      </c>
    </row>
    <row r="6" spans="1:7" x14ac:dyDescent="0.25">
      <c r="A6" t="s">
        <v>53</v>
      </c>
      <c r="B6" t="s">
        <v>54</v>
      </c>
      <c r="C6" s="1">
        <v>46273</v>
      </c>
      <c r="D6">
        <v>4941</v>
      </c>
      <c r="E6">
        <v>5</v>
      </c>
      <c r="F6" t="s">
        <v>96</v>
      </c>
    </row>
    <row r="7" spans="1:7" x14ac:dyDescent="0.25">
      <c r="A7" t="s">
        <v>93</v>
      </c>
      <c r="B7" t="s">
        <v>95</v>
      </c>
      <c r="C7" s="1">
        <v>46274</v>
      </c>
      <c r="D7">
        <v>1010</v>
      </c>
      <c r="E7">
        <v>2</v>
      </c>
      <c r="F7" t="s">
        <v>97</v>
      </c>
    </row>
    <row r="8" spans="1:7" x14ac:dyDescent="0.25">
      <c r="A8" t="s">
        <v>5</v>
      </c>
      <c r="B8" t="s">
        <v>6</v>
      </c>
      <c r="C8" s="1">
        <v>46265</v>
      </c>
      <c r="D8">
        <v>4941</v>
      </c>
      <c r="E8">
        <v>3</v>
      </c>
      <c r="F8" t="s">
        <v>107</v>
      </c>
    </row>
    <row r="9" spans="1:7" x14ac:dyDescent="0.25">
      <c r="A9" t="s">
        <v>182</v>
      </c>
      <c r="B9" t="s">
        <v>183</v>
      </c>
      <c r="C9" s="1">
        <v>46274</v>
      </c>
      <c r="D9">
        <v>1</v>
      </c>
      <c r="E9">
        <v>1</v>
      </c>
      <c r="F9" t="s">
        <v>187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eshacerUltimoMovimiento">
                <anchor moveWithCells="1" sizeWithCells="1">
                  <from>
                    <xdr:col>1</xdr:col>
                    <xdr:colOff>676275</xdr:colOff>
                    <xdr:row>0</xdr:row>
                    <xdr:rowOff>171450</xdr:rowOff>
                  </from>
                  <to>
                    <xdr:col>1</xdr:col>
                    <xdr:colOff>1857375</xdr:colOff>
                    <xdr:row>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uccion">
                <anchor moveWithCells="1" sizeWithCells="1">
                  <from>
                    <xdr:col>1</xdr:col>
                    <xdr:colOff>2247900</xdr:colOff>
                    <xdr:row>0</xdr:row>
                    <xdr:rowOff>171450</xdr:rowOff>
                  </from>
                  <to>
                    <xdr:col>2</xdr:col>
                    <xdr:colOff>771525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82BE-9DBB-4B81-A83D-85D7EFDF039A}">
  <sheetPr codeName="Hoja3"/>
  <dimension ref="A3:G13"/>
  <sheetViews>
    <sheetView workbookViewId="0">
      <selection activeCell="F5" sqref="F5"/>
    </sheetView>
  </sheetViews>
  <sheetFormatPr baseColWidth="10" defaultRowHeight="15" x14ac:dyDescent="0.25"/>
  <cols>
    <col min="2" max="2" width="52.42578125" customWidth="1"/>
    <col min="3" max="3" width="17.140625" customWidth="1"/>
    <col min="4" max="4" width="23" customWidth="1"/>
    <col min="5" max="5" width="17.42578125" customWidth="1"/>
    <col min="6" max="6" width="34.140625" customWidth="1"/>
    <col min="7" max="7" width="16.7109375" customWidth="1"/>
  </cols>
  <sheetData>
    <row r="3" spans="1:7" ht="34.5" customHeight="1" x14ac:dyDescent="0.25"/>
    <row r="4" spans="1:7" x14ac:dyDescent="0.25">
      <c r="A4" t="s">
        <v>81</v>
      </c>
      <c r="B4" t="s">
        <v>82</v>
      </c>
      <c r="C4" t="s">
        <v>80</v>
      </c>
      <c r="D4" t="s">
        <v>79</v>
      </c>
      <c r="E4" t="s">
        <v>83</v>
      </c>
      <c r="F4" t="s">
        <v>84</v>
      </c>
      <c r="G4" t="s">
        <v>2</v>
      </c>
    </row>
    <row r="5" spans="1:7" x14ac:dyDescent="0.25">
      <c r="A5" t="s">
        <v>5</v>
      </c>
      <c r="B5" t="s">
        <v>6</v>
      </c>
      <c r="C5" s="1">
        <v>46274</v>
      </c>
      <c r="D5">
        <v>111</v>
      </c>
      <c r="E5">
        <v>1</v>
      </c>
      <c r="F5" t="s">
        <v>108</v>
      </c>
    </row>
    <row r="12" spans="1:7" x14ac:dyDescent="0.25">
      <c r="B12" s="3"/>
    </row>
    <row r="13" spans="1:7" x14ac:dyDescent="0.25">
      <c r="B1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shacerUltimoMovimiento">
                <anchor moveWithCells="1" sizeWithCells="1">
                  <from>
                    <xdr:col>1</xdr:col>
                    <xdr:colOff>695325</xdr:colOff>
                    <xdr:row>0</xdr:row>
                    <xdr:rowOff>142875</xdr:rowOff>
                  </from>
                  <to>
                    <xdr:col>1</xdr:col>
                    <xdr:colOff>1876425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DB2B-06FA-4349-90AB-4F05FFFB187B}">
  <sheetPr codeName="Hoja4"/>
  <dimension ref="A3:K104"/>
  <sheetViews>
    <sheetView workbookViewId="0">
      <selection activeCell="A5" sqref="A5"/>
    </sheetView>
  </sheetViews>
  <sheetFormatPr baseColWidth="10" defaultRowHeight="15" x14ac:dyDescent="0.25"/>
  <cols>
    <col min="1" max="1" width="12.85546875" customWidth="1"/>
    <col min="2" max="2" width="37.5703125" customWidth="1"/>
    <col min="3" max="3" width="16.140625" customWidth="1"/>
    <col min="4" max="4" width="20.42578125" customWidth="1"/>
    <col min="5" max="5" width="15.140625" customWidth="1"/>
    <col min="6" max="6" width="22.140625" customWidth="1"/>
    <col min="7" max="7" width="17" customWidth="1"/>
  </cols>
  <sheetData>
    <row r="3" spans="1:11" ht="42.95" customHeight="1" x14ac:dyDescent="0.25"/>
    <row r="4" spans="1:11" x14ac:dyDescent="0.25">
      <c r="A4" t="s">
        <v>81</v>
      </c>
      <c r="B4" t="s">
        <v>82</v>
      </c>
      <c r="C4" t="s">
        <v>80</v>
      </c>
      <c r="D4" t="s">
        <v>79</v>
      </c>
      <c r="E4" t="s">
        <v>83</v>
      </c>
      <c r="F4" t="s">
        <v>85</v>
      </c>
      <c r="G4" t="s">
        <v>86</v>
      </c>
      <c r="H4" t="s">
        <v>87</v>
      </c>
      <c r="I4" t="s">
        <v>88</v>
      </c>
      <c r="J4" t="s">
        <v>89</v>
      </c>
      <c r="K4" t="s">
        <v>90</v>
      </c>
    </row>
    <row r="5" spans="1:11" x14ac:dyDescent="0.25">
      <c r="A5" t="s">
        <v>119</v>
      </c>
      <c r="B5" s="3" t="s">
        <v>120</v>
      </c>
      <c r="D5">
        <v>0</v>
      </c>
      <c r="F5">
        <v>0</v>
      </c>
      <c r="H5">
        <v>176</v>
      </c>
      <c r="I5" t="s">
        <v>94</v>
      </c>
      <c r="J5">
        <v>48</v>
      </c>
      <c r="K5" s="2">
        <v>46274.690127314818</v>
      </c>
    </row>
    <row r="6" spans="1:11" x14ac:dyDescent="0.25">
      <c r="A6" t="s">
        <v>119</v>
      </c>
      <c r="B6" s="3" t="s">
        <v>120</v>
      </c>
      <c r="D6">
        <v>0</v>
      </c>
      <c r="F6">
        <v>0</v>
      </c>
      <c r="H6">
        <v>177</v>
      </c>
      <c r="I6" t="s">
        <v>94</v>
      </c>
      <c r="J6">
        <v>48</v>
      </c>
      <c r="K6" s="2">
        <v>46274.69017361111</v>
      </c>
    </row>
    <row r="7" spans="1:11" x14ac:dyDescent="0.25">
      <c r="B7" s="3"/>
      <c r="H7">
        <v>178</v>
      </c>
      <c r="I7" t="s">
        <v>94</v>
      </c>
      <c r="J7">
        <v>49</v>
      </c>
      <c r="K7" s="2">
        <v>46274.690266203703</v>
      </c>
    </row>
    <row r="8" spans="1:11" x14ac:dyDescent="0.25">
      <c r="A8" t="s">
        <v>121</v>
      </c>
      <c r="B8" s="3"/>
      <c r="D8">
        <v>0</v>
      </c>
      <c r="F8">
        <v>0</v>
      </c>
      <c r="H8">
        <v>179</v>
      </c>
      <c r="I8" t="s">
        <v>94</v>
      </c>
      <c r="J8">
        <v>49</v>
      </c>
      <c r="K8" s="2">
        <v>46274.690532407411</v>
      </c>
    </row>
    <row r="9" spans="1:11" x14ac:dyDescent="0.25">
      <c r="A9" t="s">
        <v>121</v>
      </c>
      <c r="B9" s="3" t="s">
        <v>122</v>
      </c>
      <c r="D9">
        <v>0</v>
      </c>
      <c r="F9">
        <v>0</v>
      </c>
      <c r="H9">
        <v>180</v>
      </c>
      <c r="I9" t="s">
        <v>94</v>
      </c>
      <c r="J9">
        <v>49</v>
      </c>
      <c r="K9" s="2">
        <v>46274.690625000003</v>
      </c>
    </row>
    <row r="10" spans="1:11" x14ac:dyDescent="0.25">
      <c r="B10" s="3"/>
      <c r="H10">
        <v>181</v>
      </c>
      <c r="I10" t="s">
        <v>94</v>
      </c>
      <c r="J10">
        <v>50</v>
      </c>
      <c r="K10" s="2">
        <v>46274.690752314818</v>
      </c>
    </row>
    <row r="11" spans="1:11" x14ac:dyDescent="0.25">
      <c r="A11" t="s">
        <v>123</v>
      </c>
      <c r="B11" s="3"/>
      <c r="D11">
        <v>0</v>
      </c>
      <c r="F11">
        <v>0</v>
      </c>
      <c r="H11">
        <v>182</v>
      </c>
      <c r="I11" t="s">
        <v>94</v>
      </c>
      <c r="J11">
        <v>50</v>
      </c>
      <c r="K11" s="2">
        <v>46274.690972222219</v>
      </c>
    </row>
    <row r="12" spans="1:11" x14ac:dyDescent="0.25">
      <c r="A12" t="s">
        <v>123</v>
      </c>
      <c r="B12" s="3" t="s">
        <v>124</v>
      </c>
      <c r="D12">
        <v>0</v>
      </c>
      <c r="F12">
        <v>0</v>
      </c>
      <c r="H12">
        <v>183</v>
      </c>
      <c r="I12" t="s">
        <v>94</v>
      </c>
      <c r="J12">
        <v>50</v>
      </c>
      <c r="K12" s="2">
        <v>46274.691099537034</v>
      </c>
    </row>
    <row r="13" spans="1:11" x14ac:dyDescent="0.25">
      <c r="B13" s="3"/>
      <c r="H13">
        <v>184</v>
      </c>
      <c r="I13" t="s">
        <v>94</v>
      </c>
      <c r="J13">
        <v>51</v>
      </c>
      <c r="K13" s="2">
        <v>46274.69122685185</v>
      </c>
    </row>
    <row r="14" spans="1:11" x14ac:dyDescent="0.25">
      <c r="A14" t="s">
        <v>125</v>
      </c>
      <c r="B14" s="3"/>
      <c r="D14">
        <v>0</v>
      </c>
      <c r="F14">
        <v>0</v>
      </c>
      <c r="H14">
        <v>185</v>
      </c>
      <c r="I14" t="s">
        <v>94</v>
      </c>
      <c r="J14">
        <v>51</v>
      </c>
      <c r="K14" s="2">
        <v>46274.691469907404</v>
      </c>
    </row>
    <row r="15" spans="1:11" x14ac:dyDescent="0.25">
      <c r="A15" t="s">
        <v>125</v>
      </c>
      <c r="B15" s="3" t="s">
        <v>126</v>
      </c>
      <c r="D15">
        <v>0</v>
      </c>
      <c r="F15">
        <v>0</v>
      </c>
      <c r="H15">
        <v>186</v>
      </c>
      <c r="I15" t="s">
        <v>94</v>
      </c>
      <c r="J15">
        <v>51</v>
      </c>
      <c r="K15" s="2">
        <v>46274.691504629627</v>
      </c>
    </row>
    <row r="16" spans="1:11" x14ac:dyDescent="0.25">
      <c r="B16" s="3"/>
      <c r="H16">
        <v>187</v>
      </c>
      <c r="I16" t="s">
        <v>94</v>
      </c>
      <c r="J16">
        <v>52</v>
      </c>
      <c r="K16" s="2">
        <v>46274.691689814812</v>
      </c>
    </row>
    <row r="17" spans="1:11" x14ac:dyDescent="0.25">
      <c r="A17" t="s">
        <v>127</v>
      </c>
      <c r="B17" s="3"/>
      <c r="D17">
        <v>0</v>
      </c>
      <c r="F17">
        <v>0</v>
      </c>
      <c r="H17">
        <v>188</v>
      </c>
      <c r="I17" t="s">
        <v>94</v>
      </c>
      <c r="J17">
        <v>52</v>
      </c>
      <c r="K17" s="2">
        <v>46274.691817129627</v>
      </c>
    </row>
    <row r="18" spans="1:11" x14ac:dyDescent="0.25">
      <c r="A18" t="s">
        <v>127</v>
      </c>
      <c r="B18" s="3" t="s">
        <v>128</v>
      </c>
      <c r="D18">
        <v>0</v>
      </c>
      <c r="F18">
        <v>0</v>
      </c>
      <c r="H18">
        <v>189</v>
      </c>
      <c r="I18" t="s">
        <v>94</v>
      </c>
      <c r="J18">
        <v>52</v>
      </c>
      <c r="K18" s="2">
        <v>46274.691863425927</v>
      </c>
    </row>
    <row r="19" spans="1:11" x14ac:dyDescent="0.25">
      <c r="B19" s="3"/>
      <c r="H19">
        <v>190</v>
      </c>
      <c r="I19" t="s">
        <v>94</v>
      </c>
      <c r="J19">
        <v>53</v>
      </c>
      <c r="K19" s="2">
        <v>46274.691979166666</v>
      </c>
    </row>
    <row r="20" spans="1:11" x14ac:dyDescent="0.25">
      <c r="A20" t="s">
        <v>129</v>
      </c>
      <c r="B20" s="3"/>
      <c r="D20">
        <v>0</v>
      </c>
      <c r="F20">
        <v>0</v>
      </c>
      <c r="H20">
        <v>191</v>
      </c>
      <c r="I20" t="s">
        <v>94</v>
      </c>
      <c r="J20">
        <v>53</v>
      </c>
      <c r="K20" s="2">
        <v>46274.692118055558</v>
      </c>
    </row>
    <row r="21" spans="1:11" x14ac:dyDescent="0.25">
      <c r="A21" t="s">
        <v>129</v>
      </c>
      <c r="B21" s="3" t="s">
        <v>130</v>
      </c>
      <c r="D21">
        <v>0</v>
      </c>
      <c r="F21">
        <v>0</v>
      </c>
      <c r="H21">
        <v>192</v>
      </c>
      <c r="I21" t="s">
        <v>94</v>
      </c>
      <c r="J21">
        <v>53</v>
      </c>
      <c r="K21" s="2">
        <v>46274.692175925928</v>
      </c>
    </row>
    <row r="22" spans="1:11" x14ac:dyDescent="0.25">
      <c r="B22" s="3"/>
      <c r="H22">
        <v>193</v>
      </c>
      <c r="I22" t="s">
        <v>94</v>
      </c>
      <c r="J22">
        <v>54</v>
      </c>
      <c r="K22" s="2">
        <v>46274.692291666666</v>
      </c>
    </row>
    <row r="23" spans="1:11" x14ac:dyDescent="0.25">
      <c r="A23" t="s">
        <v>132</v>
      </c>
      <c r="B23" s="3"/>
      <c r="D23">
        <v>0</v>
      </c>
      <c r="F23">
        <v>0</v>
      </c>
      <c r="H23">
        <v>194</v>
      </c>
      <c r="I23" t="s">
        <v>94</v>
      </c>
      <c r="J23">
        <v>54</v>
      </c>
      <c r="K23" s="2">
        <v>46274.692511574074</v>
      </c>
    </row>
    <row r="24" spans="1:11" x14ac:dyDescent="0.25">
      <c r="A24" t="s">
        <v>132</v>
      </c>
      <c r="B24" s="3" t="s">
        <v>133</v>
      </c>
      <c r="D24">
        <v>0</v>
      </c>
      <c r="F24">
        <v>0</v>
      </c>
      <c r="H24">
        <v>195</v>
      </c>
      <c r="I24" t="s">
        <v>94</v>
      </c>
      <c r="J24">
        <v>54</v>
      </c>
      <c r="K24" s="2">
        <v>46274.692557870374</v>
      </c>
    </row>
    <row r="25" spans="1:11" x14ac:dyDescent="0.25">
      <c r="B25" s="3"/>
      <c r="H25">
        <v>196</v>
      </c>
      <c r="I25" t="s">
        <v>94</v>
      </c>
      <c r="J25">
        <v>55</v>
      </c>
      <c r="K25" s="2">
        <v>46274.693541666667</v>
      </c>
    </row>
    <row r="26" spans="1:11" x14ac:dyDescent="0.25">
      <c r="A26" t="s">
        <v>134</v>
      </c>
      <c r="B26" s="3"/>
      <c r="D26">
        <v>0</v>
      </c>
      <c r="F26">
        <v>0</v>
      </c>
      <c r="H26">
        <v>197</v>
      </c>
      <c r="I26" t="s">
        <v>94</v>
      </c>
      <c r="J26">
        <v>55</v>
      </c>
      <c r="K26" s="2">
        <v>46274.693645833337</v>
      </c>
    </row>
    <row r="27" spans="1:11" x14ac:dyDescent="0.25">
      <c r="A27" t="s">
        <v>134</v>
      </c>
      <c r="B27" s="3" t="s">
        <v>135</v>
      </c>
      <c r="D27">
        <v>0</v>
      </c>
      <c r="F27">
        <v>0</v>
      </c>
      <c r="H27">
        <v>198</v>
      </c>
      <c r="I27" t="s">
        <v>94</v>
      </c>
      <c r="J27">
        <v>55</v>
      </c>
      <c r="K27" s="2">
        <v>46274.693726851852</v>
      </c>
    </row>
    <row r="28" spans="1:11" x14ac:dyDescent="0.25">
      <c r="B28" s="3"/>
      <c r="H28">
        <v>199</v>
      </c>
      <c r="I28" t="s">
        <v>94</v>
      </c>
      <c r="J28">
        <v>56</v>
      </c>
      <c r="K28" s="2">
        <v>46274.693877314814</v>
      </c>
    </row>
    <row r="29" spans="1:11" x14ac:dyDescent="0.25">
      <c r="A29" t="s">
        <v>136</v>
      </c>
      <c r="B29" s="3"/>
      <c r="D29">
        <v>0</v>
      </c>
      <c r="F29">
        <v>0</v>
      </c>
      <c r="H29">
        <v>200</v>
      </c>
      <c r="I29" t="s">
        <v>94</v>
      </c>
      <c r="J29">
        <v>56</v>
      </c>
      <c r="K29" s="2">
        <v>46274.693993055553</v>
      </c>
    </row>
    <row r="30" spans="1:11" x14ac:dyDescent="0.25">
      <c r="A30" t="s">
        <v>136</v>
      </c>
      <c r="B30" s="3" t="s">
        <v>137</v>
      </c>
      <c r="D30">
        <v>0</v>
      </c>
      <c r="F30">
        <v>0</v>
      </c>
      <c r="H30">
        <v>201</v>
      </c>
      <c r="I30" t="s">
        <v>94</v>
      </c>
      <c r="J30">
        <v>56</v>
      </c>
      <c r="K30" s="2">
        <v>46274.694050925929</v>
      </c>
    </row>
    <row r="31" spans="1:11" x14ac:dyDescent="0.25">
      <c r="B31" s="3"/>
      <c r="H31">
        <v>202</v>
      </c>
      <c r="I31" t="s">
        <v>94</v>
      </c>
      <c r="J31">
        <v>57</v>
      </c>
      <c r="K31" s="2">
        <v>46274.694131944445</v>
      </c>
    </row>
    <row r="32" spans="1:11" x14ac:dyDescent="0.25">
      <c r="A32" t="s">
        <v>138</v>
      </c>
      <c r="B32" s="3"/>
      <c r="D32">
        <v>0</v>
      </c>
      <c r="F32">
        <v>0</v>
      </c>
      <c r="H32">
        <v>203</v>
      </c>
      <c r="I32" t="s">
        <v>94</v>
      </c>
      <c r="J32">
        <v>57</v>
      </c>
      <c r="K32" s="2">
        <v>46274.694456018522</v>
      </c>
    </row>
    <row r="33" spans="1:11" x14ac:dyDescent="0.25">
      <c r="A33" t="s">
        <v>138</v>
      </c>
      <c r="B33" s="3" t="s">
        <v>139</v>
      </c>
      <c r="D33">
        <v>0</v>
      </c>
      <c r="F33">
        <v>0</v>
      </c>
      <c r="H33">
        <v>204</v>
      </c>
      <c r="I33" t="s">
        <v>94</v>
      </c>
      <c r="J33">
        <v>57</v>
      </c>
      <c r="K33" s="2">
        <v>46274.694525462961</v>
      </c>
    </row>
    <row r="34" spans="1:11" x14ac:dyDescent="0.25">
      <c r="B34" s="3"/>
      <c r="H34">
        <v>205</v>
      </c>
      <c r="I34" t="s">
        <v>94</v>
      </c>
      <c r="J34">
        <v>58</v>
      </c>
      <c r="K34" s="2">
        <v>46274.695243055554</v>
      </c>
    </row>
    <row r="35" spans="1:11" x14ac:dyDescent="0.25">
      <c r="A35" t="s">
        <v>140</v>
      </c>
      <c r="B35" s="3"/>
      <c r="D35">
        <v>0</v>
      </c>
      <c r="F35">
        <v>0</v>
      </c>
      <c r="H35">
        <v>206</v>
      </c>
      <c r="I35" t="s">
        <v>94</v>
      </c>
      <c r="J35">
        <v>58</v>
      </c>
      <c r="K35" s="2">
        <v>46274.695613425924</v>
      </c>
    </row>
    <row r="36" spans="1:11" x14ac:dyDescent="0.25">
      <c r="A36" t="s">
        <v>140</v>
      </c>
      <c r="B36" s="3" t="s">
        <v>141</v>
      </c>
      <c r="D36">
        <v>0</v>
      </c>
      <c r="F36">
        <v>0</v>
      </c>
      <c r="H36">
        <v>207</v>
      </c>
      <c r="I36" t="s">
        <v>94</v>
      </c>
      <c r="J36">
        <v>58</v>
      </c>
      <c r="K36" s="2">
        <v>46274.695787037039</v>
      </c>
    </row>
    <row r="37" spans="1:11" x14ac:dyDescent="0.25">
      <c r="B37" s="3"/>
      <c r="H37">
        <v>208</v>
      </c>
      <c r="I37" t="s">
        <v>94</v>
      </c>
      <c r="J37">
        <v>59</v>
      </c>
      <c r="K37" s="2">
        <v>46274.695914351854</v>
      </c>
    </row>
    <row r="38" spans="1:11" x14ac:dyDescent="0.25">
      <c r="A38" t="s">
        <v>142</v>
      </c>
      <c r="B38" s="3"/>
      <c r="D38">
        <v>0</v>
      </c>
      <c r="F38">
        <v>0</v>
      </c>
      <c r="H38">
        <v>209</v>
      </c>
      <c r="I38" t="s">
        <v>94</v>
      </c>
      <c r="J38">
        <v>59</v>
      </c>
      <c r="K38" s="2">
        <v>46274.696145833332</v>
      </c>
    </row>
    <row r="39" spans="1:11" x14ac:dyDescent="0.25">
      <c r="A39" t="s">
        <v>142</v>
      </c>
      <c r="B39" s="3" t="s">
        <v>143</v>
      </c>
      <c r="D39">
        <v>0</v>
      </c>
      <c r="F39">
        <v>0</v>
      </c>
      <c r="H39">
        <v>210</v>
      </c>
      <c r="I39" t="s">
        <v>94</v>
      </c>
      <c r="J39">
        <v>59</v>
      </c>
      <c r="K39" s="2">
        <v>46274.69630787037</v>
      </c>
    </row>
    <row r="40" spans="1:11" x14ac:dyDescent="0.25">
      <c r="B40" s="3"/>
      <c r="H40">
        <v>211</v>
      </c>
      <c r="I40" t="s">
        <v>94</v>
      </c>
      <c r="J40">
        <v>60</v>
      </c>
      <c r="K40" s="2">
        <v>46274.696388888886</v>
      </c>
    </row>
    <row r="41" spans="1:11" x14ac:dyDescent="0.25">
      <c r="A41" t="s">
        <v>145</v>
      </c>
      <c r="B41" s="3"/>
      <c r="D41">
        <v>0</v>
      </c>
      <c r="F41">
        <v>0</v>
      </c>
      <c r="H41">
        <v>212</v>
      </c>
      <c r="I41" t="s">
        <v>94</v>
      </c>
      <c r="J41">
        <v>60</v>
      </c>
      <c r="K41" s="2">
        <v>46274.696574074071</v>
      </c>
    </row>
    <row r="42" spans="1:11" x14ac:dyDescent="0.25">
      <c r="A42" t="s">
        <v>145</v>
      </c>
      <c r="B42" s="3" t="s">
        <v>146</v>
      </c>
      <c r="D42">
        <v>0</v>
      </c>
      <c r="F42">
        <v>0</v>
      </c>
      <c r="H42">
        <v>213</v>
      </c>
      <c r="I42" t="s">
        <v>94</v>
      </c>
      <c r="J42">
        <v>60</v>
      </c>
      <c r="K42" s="2">
        <v>46274.696666666663</v>
      </c>
    </row>
    <row r="43" spans="1:11" x14ac:dyDescent="0.25">
      <c r="B43" s="3"/>
      <c r="H43">
        <v>214</v>
      </c>
      <c r="I43" t="s">
        <v>94</v>
      </c>
      <c r="J43">
        <v>61</v>
      </c>
      <c r="K43" s="2">
        <v>46274.696770833332</v>
      </c>
    </row>
    <row r="44" spans="1:11" x14ac:dyDescent="0.25">
      <c r="A44" t="s">
        <v>147</v>
      </c>
      <c r="B44" s="3"/>
      <c r="D44">
        <v>0</v>
      </c>
      <c r="F44">
        <v>0</v>
      </c>
      <c r="H44">
        <v>215</v>
      </c>
      <c r="I44" t="s">
        <v>94</v>
      </c>
      <c r="J44">
        <v>61</v>
      </c>
      <c r="K44" s="2">
        <v>46274.69703703704</v>
      </c>
    </row>
    <row r="45" spans="1:11" x14ac:dyDescent="0.25">
      <c r="A45" t="s">
        <v>147</v>
      </c>
      <c r="B45" s="3" t="s">
        <v>148</v>
      </c>
      <c r="D45">
        <v>0</v>
      </c>
      <c r="F45">
        <v>0</v>
      </c>
      <c r="H45">
        <v>216</v>
      </c>
      <c r="I45" t="s">
        <v>94</v>
      </c>
      <c r="J45">
        <v>61</v>
      </c>
      <c r="K45" s="2">
        <v>46274.697118055556</v>
      </c>
    </row>
    <row r="46" spans="1:11" x14ac:dyDescent="0.25">
      <c r="B46" s="3"/>
      <c r="H46">
        <v>217</v>
      </c>
      <c r="I46" t="s">
        <v>94</v>
      </c>
      <c r="J46">
        <v>62</v>
      </c>
      <c r="K46" s="2">
        <v>46274.697245370371</v>
      </c>
    </row>
    <row r="47" spans="1:11" x14ac:dyDescent="0.25">
      <c r="A47" t="s">
        <v>149</v>
      </c>
      <c r="B47" s="3"/>
      <c r="D47">
        <v>0</v>
      </c>
      <c r="F47">
        <v>0</v>
      </c>
      <c r="H47">
        <v>218</v>
      </c>
      <c r="I47" t="s">
        <v>94</v>
      </c>
      <c r="J47">
        <v>62</v>
      </c>
      <c r="K47" s="2">
        <v>46274.697395833333</v>
      </c>
    </row>
    <row r="48" spans="1:11" x14ac:dyDescent="0.25">
      <c r="A48" t="s">
        <v>149</v>
      </c>
      <c r="B48" s="3" t="s">
        <v>150</v>
      </c>
      <c r="D48">
        <v>0</v>
      </c>
      <c r="F48">
        <v>0</v>
      </c>
      <c r="H48">
        <v>219</v>
      </c>
      <c r="I48" t="s">
        <v>94</v>
      </c>
      <c r="J48">
        <v>62</v>
      </c>
      <c r="K48" s="2">
        <v>46274.697465277779</v>
      </c>
    </row>
    <row r="49" spans="1:11" x14ac:dyDescent="0.25">
      <c r="B49" s="3" t="s">
        <v>148</v>
      </c>
      <c r="C49" t="s">
        <v>131</v>
      </c>
      <c r="D49">
        <v>0</v>
      </c>
      <c r="F49">
        <v>0</v>
      </c>
      <c r="H49">
        <v>220</v>
      </c>
      <c r="I49" t="s">
        <v>94</v>
      </c>
      <c r="J49">
        <v>61</v>
      </c>
      <c r="K49" s="2">
        <v>46274.698159722226</v>
      </c>
    </row>
    <row r="50" spans="1:11" x14ac:dyDescent="0.25">
      <c r="B50" s="3" t="s">
        <v>150</v>
      </c>
      <c r="C50" t="s">
        <v>116</v>
      </c>
      <c r="D50">
        <v>0</v>
      </c>
      <c r="F50">
        <v>0</v>
      </c>
      <c r="H50">
        <v>221</v>
      </c>
      <c r="I50" t="s">
        <v>94</v>
      </c>
      <c r="J50">
        <v>62</v>
      </c>
      <c r="K50" s="2">
        <v>46274.698425925926</v>
      </c>
    </row>
    <row r="51" spans="1:11" x14ac:dyDescent="0.25">
      <c r="B51" s="3"/>
      <c r="H51">
        <v>222</v>
      </c>
      <c r="I51" t="s">
        <v>94</v>
      </c>
      <c r="J51">
        <v>63</v>
      </c>
      <c r="K51" s="2">
        <v>46274.698599537034</v>
      </c>
    </row>
    <row r="52" spans="1:11" x14ac:dyDescent="0.25">
      <c r="A52" t="s">
        <v>149</v>
      </c>
      <c r="B52" s="3"/>
      <c r="D52">
        <v>0</v>
      </c>
      <c r="F52">
        <v>0</v>
      </c>
      <c r="H52">
        <v>223</v>
      </c>
      <c r="I52" t="s">
        <v>94</v>
      </c>
      <c r="J52">
        <v>63</v>
      </c>
      <c r="K52" s="2">
        <v>46274.698888888888</v>
      </c>
    </row>
    <row r="53" spans="1:11" x14ac:dyDescent="0.25">
      <c r="A53" t="s">
        <v>149</v>
      </c>
      <c r="B53" s="3" t="s">
        <v>152</v>
      </c>
      <c r="D53">
        <v>0</v>
      </c>
      <c r="F53">
        <v>0</v>
      </c>
      <c r="H53">
        <v>224</v>
      </c>
      <c r="I53" t="s">
        <v>94</v>
      </c>
      <c r="J53">
        <v>63</v>
      </c>
      <c r="K53" s="2">
        <v>46274.698946759258</v>
      </c>
    </row>
    <row r="54" spans="1:11" x14ac:dyDescent="0.25">
      <c r="B54" s="3"/>
      <c r="H54">
        <v>225</v>
      </c>
      <c r="I54" t="s">
        <v>94</v>
      </c>
      <c r="J54">
        <v>64</v>
      </c>
      <c r="K54" s="2">
        <v>46274.699131944442</v>
      </c>
    </row>
    <row r="55" spans="1:11" x14ac:dyDescent="0.25">
      <c r="A55" t="s">
        <v>153</v>
      </c>
      <c r="B55" s="3"/>
      <c r="D55">
        <v>0</v>
      </c>
      <c r="F55">
        <v>0</v>
      </c>
      <c r="H55">
        <v>226</v>
      </c>
      <c r="I55" t="s">
        <v>94</v>
      </c>
      <c r="J55">
        <v>64</v>
      </c>
      <c r="K55" s="2">
        <v>46274.699317129627</v>
      </c>
    </row>
    <row r="56" spans="1:11" x14ac:dyDescent="0.25">
      <c r="A56" t="s">
        <v>153</v>
      </c>
      <c r="B56" s="3" t="s">
        <v>154</v>
      </c>
      <c r="D56">
        <v>0</v>
      </c>
      <c r="F56">
        <v>0</v>
      </c>
      <c r="H56">
        <v>227</v>
      </c>
      <c r="I56" t="s">
        <v>94</v>
      </c>
      <c r="J56">
        <v>64</v>
      </c>
      <c r="K56" s="2">
        <v>46274.699374999997</v>
      </c>
    </row>
    <row r="57" spans="1:11" x14ac:dyDescent="0.25">
      <c r="B57" s="3"/>
      <c r="H57">
        <v>228</v>
      </c>
      <c r="I57" t="s">
        <v>94</v>
      </c>
      <c r="J57">
        <v>65</v>
      </c>
      <c r="K57" s="2">
        <v>46274.699479166666</v>
      </c>
    </row>
    <row r="58" spans="1:11" x14ac:dyDescent="0.25">
      <c r="A58" t="s">
        <v>155</v>
      </c>
      <c r="B58" s="3"/>
      <c r="D58">
        <v>0</v>
      </c>
      <c r="F58">
        <v>0</v>
      </c>
      <c r="H58">
        <v>229</v>
      </c>
      <c r="I58" t="s">
        <v>94</v>
      </c>
      <c r="J58">
        <v>65</v>
      </c>
      <c r="K58" s="2">
        <v>46274.699560185189</v>
      </c>
    </row>
    <row r="59" spans="1:11" x14ac:dyDescent="0.25">
      <c r="A59" t="s">
        <v>155</v>
      </c>
      <c r="B59" s="3" t="s">
        <v>156</v>
      </c>
      <c r="D59">
        <v>0</v>
      </c>
      <c r="F59">
        <v>0</v>
      </c>
      <c r="H59">
        <v>230</v>
      </c>
      <c r="I59" t="s">
        <v>94</v>
      </c>
      <c r="J59">
        <v>65</v>
      </c>
      <c r="K59" s="2">
        <v>46274.699618055558</v>
      </c>
    </row>
    <row r="60" spans="1:11" x14ac:dyDescent="0.25">
      <c r="B60" s="3"/>
      <c r="H60">
        <v>231</v>
      </c>
      <c r="I60" t="s">
        <v>94</v>
      </c>
      <c r="J60">
        <v>66</v>
      </c>
      <c r="K60" s="2">
        <v>46274.699699074074</v>
      </c>
    </row>
    <row r="61" spans="1:11" x14ac:dyDescent="0.25">
      <c r="A61" t="s">
        <v>158</v>
      </c>
      <c r="B61" s="3"/>
      <c r="D61">
        <v>0</v>
      </c>
      <c r="F61">
        <v>0</v>
      </c>
      <c r="H61">
        <v>232</v>
      </c>
      <c r="I61" t="s">
        <v>94</v>
      </c>
      <c r="J61">
        <v>66</v>
      </c>
      <c r="K61" s="2">
        <v>46274.699872685182</v>
      </c>
    </row>
    <row r="62" spans="1:11" x14ac:dyDescent="0.25">
      <c r="A62" t="s">
        <v>158</v>
      </c>
      <c r="B62" s="3" t="s">
        <v>159</v>
      </c>
      <c r="D62">
        <v>0</v>
      </c>
      <c r="F62">
        <v>0</v>
      </c>
      <c r="H62">
        <v>233</v>
      </c>
      <c r="I62" t="s">
        <v>94</v>
      </c>
      <c r="J62">
        <v>66</v>
      </c>
      <c r="K62" s="2">
        <v>46274.699953703705</v>
      </c>
    </row>
    <row r="63" spans="1:11" x14ac:dyDescent="0.25">
      <c r="B63" s="3"/>
      <c r="H63">
        <v>234</v>
      </c>
      <c r="I63" t="s">
        <v>94</v>
      </c>
      <c r="J63">
        <v>67</v>
      </c>
      <c r="K63" s="2">
        <v>46274.7030787037</v>
      </c>
    </row>
    <row r="64" spans="1:11" x14ac:dyDescent="0.25">
      <c r="A64" t="s">
        <v>160</v>
      </c>
      <c r="B64" s="3"/>
      <c r="D64">
        <v>0</v>
      </c>
      <c r="F64">
        <v>0</v>
      </c>
      <c r="H64">
        <v>235</v>
      </c>
      <c r="I64" t="s">
        <v>94</v>
      </c>
      <c r="J64">
        <v>67</v>
      </c>
      <c r="K64" s="2">
        <v>46274.703333333331</v>
      </c>
    </row>
    <row r="65" spans="1:11" x14ac:dyDescent="0.25">
      <c r="A65" t="s">
        <v>160</v>
      </c>
      <c r="B65" s="3" t="s">
        <v>161</v>
      </c>
      <c r="D65">
        <v>0</v>
      </c>
      <c r="F65">
        <v>0</v>
      </c>
      <c r="H65">
        <v>236</v>
      </c>
      <c r="I65" t="s">
        <v>94</v>
      </c>
      <c r="J65">
        <v>67</v>
      </c>
      <c r="K65" s="2">
        <v>46274.703379629631</v>
      </c>
    </row>
    <row r="66" spans="1:11" x14ac:dyDescent="0.25">
      <c r="B66" s="3"/>
      <c r="H66">
        <v>237</v>
      </c>
      <c r="I66" t="s">
        <v>94</v>
      </c>
      <c r="J66">
        <v>68</v>
      </c>
      <c r="K66" s="2">
        <v>46274.703472222223</v>
      </c>
    </row>
    <row r="67" spans="1:11" x14ac:dyDescent="0.25">
      <c r="A67" t="s">
        <v>162</v>
      </c>
      <c r="B67" s="3"/>
      <c r="D67">
        <v>0</v>
      </c>
      <c r="F67">
        <v>0</v>
      </c>
      <c r="H67">
        <v>238</v>
      </c>
      <c r="I67" t="s">
        <v>94</v>
      </c>
      <c r="J67">
        <v>68</v>
      </c>
      <c r="K67" s="2">
        <v>46274.705127314817</v>
      </c>
    </row>
    <row r="68" spans="1:11" x14ac:dyDescent="0.25">
      <c r="A68" t="s">
        <v>162</v>
      </c>
      <c r="B68" s="3" t="s">
        <v>163</v>
      </c>
      <c r="D68">
        <v>0</v>
      </c>
      <c r="F68">
        <v>0</v>
      </c>
      <c r="H68">
        <v>239</v>
      </c>
      <c r="I68" t="s">
        <v>94</v>
      </c>
      <c r="J68">
        <v>68</v>
      </c>
      <c r="K68" s="2">
        <v>46274.705231481479</v>
      </c>
    </row>
    <row r="69" spans="1:11" x14ac:dyDescent="0.25">
      <c r="B69" s="3"/>
      <c r="H69">
        <v>240</v>
      </c>
      <c r="I69" t="s">
        <v>94</v>
      </c>
      <c r="J69">
        <v>69</v>
      </c>
      <c r="K69" s="2">
        <v>46274.705405092594</v>
      </c>
    </row>
    <row r="70" spans="1:11" x14ac:dyDescent="0.25">
      <c r="A70" t="s">
        <v>164</v>
      </c>
      <c r="B70" s="3"/>
      <c r="D70">
        <v>0</v>
      </c>
      <c r="F70">
        <v>0</v>
      </c>
      <c r="H70">
        <v>241</v>
      </c>
      <c r="I70" t="s">
        <v>94</v>
      </c>
      <c r="J70">
        <v>69</v>
      </c>
      <c r="K70" s="2">
        <v>46274.705555555556</v>
      </c>
    </row>
    <row r="71" spans="1:11" x14ac:dyDescent="0.25">
      <c r="A71" t="s">
        <v>164</v>
      </c>
      <c r="B71" s="3" t="s">
        <v>165</v>
      </c>
      <c r="D71">
        <v>0</v>
      </c>
      <c r="F71">
        <v>0</v>
      </c>
      <c r="H71">
        <v>242</v>
      </c>
      <c r="I71" t="s">
        <v>94</v>
      </c>
      <c r="J71">
        <v>69</v>
      </c>
      <c r="K71" s="2">
        <v>46274.705601851849</v>
      </c>
    </row>
    <row r="72" spans="1:11" x14ac:dyDescent="0.25">
      <c r="B72" s="3"/>
      <c r="H72">
        <v>243</v>
      </c>
      <c r="I72" t="s">
        <v>94</v>
      </c>
      <c r="J72">
        <v>70</v>
      </c>
      <c r="K72" s="2">
        <v>46274.705729166664</v>
      </c>
    </row>
    <row r="73" spans="1:11" x14ac:dyDescent="0.25">
      <c r="A73" t="s">
        <v>166</v>
      </c>
      <c r="B73" s="3"/>
      <c r="D73">
        <v>0</v>
      </c>
      <c r="F73">
        <v>0</v>
      </c>
      <c r="H73">
        <v>244</v>
      </c>
      <c r="I73" t="s">
        <v>94</v>
      </c>
      <c r="J73">
        <v>70</v>
      </c>
      <c r="K73" s="2">
        <v>46274.706087962964</v>
      </c>
    </row>
    <row r="74" spans="1:11" x14ac:dyDescent="0.25">
      <c r="A74" t="s">
        <v>166</v>
      </c>
      <c r="B74" s="3" t="s">
        <v>167</v>
      </c>
      <c r="D74">
        <v>0</v>
      </c>
      <c r="F74">
        <v>0</v>
      </c>
      <c r="H74">
        <v>245</v>
      </c>
      <c r="I74" t="s">
        <v>94</v>
      </c>
      <c r="J74">
        <v>70</v>
      </c>
      <c r="K74" s="2">
        <v>46274.706122685187</v>
      </c>
    </row>
    <row r="75" spans="1:11" x14ac:dyDescent="0.25">
      <c r="B75" s="3"/>
      <c r="H75">
        <v>246</v>
      </c>
      <c r="I75" t="s">
        <v>94</v>
      </c>
      <c r="J75">
        <v>71</v>
      </c>
      <c r="K75" s="2">
        <v>46274.706273148149</v>
      </c>
    </row>
    <row r="76" spans="1:11" x14ac:dyDescent="0.25">
      <c r="A76" t="s">
        <v>168</v>
      </c>
      <c r="B76" s="3"/>
      <c r="D76">
        <v>0</v>
      </c>
      <c r="F76">
        <v>0</v>
      </c>
      <c r="H76">
        <v>247</v>
      </c>
      <c r="I76" t="s">
        <v>94</v>
      </c>
      <c r="J76">
        <v>71</v>
      </c>
      <c r="K76" s="2">
        <v>46274.706458333334</v>
      </c>
    </row>
    <row r="77" spans="1:11" x14ac:dyDescent="0.25">
      <c r="A77" t="s">
        <v>168</v>
      </c>
      <c r="B77" s="3" t="s">
        <v>169</v>
      </c>
      <c r="D77">
        <v>0</v>
      </c>
      <c r="F77">
        <v>0</v>
      </c>
      <c r="H77">
        <v>248</v>
      </c>
      <c r="I77" t="s">
        <v>94</v>
      </c>
      <c r="J77">
        <v>71</v>
      </c>
      <c r="K77" s="2">
        <v>46274.70653935185</v>
      </c>
    </row>
    <row r="78" spans="1:11" x14ac:dyDescent="0.25">
      <c r="B78" s="3"/>
      <c r="H78">
        <v>249</v>
      </c>
      <c r="I78" t="s">
        <v>94</v>
      </c>
      <c r="J78">
        <v>72</v>
      </c>
      <c r="K78" s="2">
        <v>46274.706817129627</v>
      </c>
    </row>
    <row r="79" spans="1:11" x14ac:dyDescent="0.25">
      <c r="A79" t="s">
        <v>170</v>
      </c>
      <c r="B79" s="3"/>
      <c r="D79">
        <v>0</v>
      </c>
      <c r="F79">
        <v>0</v>
      </c>
      <c r="H79">
        <v>250</v>
      </c>
      <c r="I79" t="s">
        <v>94</v>
      </c>
      <c r="J79">
        <v>72</v>
      </c>
      <c r="K79" s="2">
        <v>46274.707037037035</v>
      </c>
    </row>
    <row r="80" spans="1:11" x14ac:dyDescent="0.25">
      <c r="A80" t="s">
        <v>170</v>
      </c>
      <c r="B80" s="3" t="s">
        <v>171</v>
      </c>
      <c r="D80">
        <v>0</v>
      </c>
      <c r="F80">
        <v>0</v>
      </c>
      <c r="H80">
        <v>251</v>
      </c>
      <c r="I80" t="s">
        <v>94</v>
      </c>
      <c r="J80">
        <v>72</v>
      </c>
      <c r="K80" s="2">
        <v>46274.707083333335</v>
      </c>
    </row>
    <row r="81" spans="1:11" x14ac:dyDescent="0.25">
      <c r="B81" s="3"/>
      <c r="H81">
        <v>252</v>
      </c>
      <c r="I81" t="s">
        <v>94</v>
      </c>
      <c r="J81">
        <v>73</v>
      </c>
      <c r="K81" s="2">
        <v>46274.70721064815</v>
      </c>
    </row>
    <row r="82" spans="1:11" x14ac:dyDescent="0.25">
      <c r="A82" t="s">
        <v>172</v>
      </c>
      <c r="B82" s="3"/>
      <c r="D82">
        <v>0</v>
      </c>
      <c r="F82">
        <v>0</v>
      </c>
      <c r="H82">
        <v>253</v>
      </c>
      <c r="I82" t="s">
        <v>94</v>
      </c>
      <c r="J82">
        <v>73</v>
      </c>
      <c r="K82" s="2">
        <v>46274.707361111112</v>
      </c>
    </row>
    <row r="83" spans="1:11" x14ac:dyDescent="0.25">
      <c r="A83" t="s">
        <v>172</v>
      </c>
      <c r="B83" s="3" t="s">
        <v>173</v>
      </c>
      <c r="D83">
        <v>0</v>
      </c>
      <c r="F83">
        <v>0</v>
      </c>
      <c r="H83">
        <v>254</v>
      </c>
      <c r="I83" t="s">
        <v>94</v>
      </c>
      <c r="J83">
        <v>73</v>
      </c>
      <c r="K83" s="2">
        <v>46274.707418981481</v>
      </c>
    </row>
    <row r="84" spans="1:11" x14ac:dyDescent="0.25">
      <c r="B84" s="3"/>
      <c r="H84">
        <v>255</v>
      </c>
      <c r="I84" t="s">
        <v>94</v>
      </c>
      <c r="J84">
        <v>74</v>
      </c>
      <c r="K84" s="2">
        <v>46274.707604166666</v>
      </c>
    </row>
    <row r="85" spans="1:11" x14ac:dyDescent="0.25">
      <c r="A85" t="s">
        <v>175</v>
      </c>
      <c r="B85" s="3"/>
      <c r="D85">
        <v>0</v>
      </c>
      <c r="F85">
        <v>0</v>
      </c>
      <c r="H85">
        <v>256</v>
      </c>
      <c r="I85" t="s">
        <v>94</v>
      </c>
      <c r="J85">
        <v>74</v>
      </c>
      <c r="K85" s="2">
        <v>46274.707685185182</v>
      </c>
    </row>
    <row r="86" spans="1:11" x14ac:dyDescent="0.25">
      <c r="A86" t="s">
        <v>175</v>
      </c>
      <c r="B86" s="3" t="s">
        <v>176</v>
      </c>
      <c r="D86">
        <v>0</v>
      </c>
      <c r="F86">
        <v>0</v>
      </c>
      <c r="H86">
        <v>257</v>
      </c>
      <c r="I86" t="s">
        <v>94</v>
      </c>
      <c r="J86">
        <v>74</v>
      </c>
      <c r="K86" s="2">
        <v>46274.707777777781</v>
      </c>
    </row>
    <row r="87" spans="1:11" x14ac:dyDescent="0.25">
      <c r="B87" s="3"/>
      <c r="H87">
        <v>258</v>
      </c>
      <c r="I87" t="s">
        <v>94</v>
      </c>
      <c r="J87">
        <v>75</v>
      </c>
      <c r="K87" s="2">
        <v>46274.707916666666</v>
      </c>
    </row>
    <row r="88" spans="1:11" x14ac:dyDescent="0.25">
      <c r="A88" t="s">
        <v>178</v>
      </c>
      <c r="B88" s="3"/>
      <c r="D88">
        <v>0</v>
      </c>
      <c r="F88">
        <v>0</v>
      </c>
      <c r="H88">
        <v>259</v>
      </c>
      <c r="I88" t="s">
        <v>94</v>
      </c>
      <c r="J88">
        <v>75</v>
      </c>
      <c r="K88" s="2">
        <v>46274.708032407405</v>
      </c>
    </row>
    <row r="89" spans="1:11" x14ac:dyDescent="0.25">
      <c r="A89" t="s">
        <v>178</v>
      </c>
      <c r="B89" s="3" t="s">
        <v>179</v>
      </c>
      <c r="D89">
        <v>0</v>
      </c>
      <c r="F89">
        <v>0</v>
      </c>
      <c r="H89">
        <v>260</v>
      </c>
      <c r="I89" t="s">
        <v>94</v>
      </c>
      <c r="J89">
        <v>75</v>
      </c>
      <c r="K89" s="2">
        <v>46274.708124999997</v>
      </c>
    </row>
    <row r="90" spans="1:11" x14ac:dyDescent="0.25">
      <c r="B90" s="3"/>
      <c r="H90">
        <v>261</v>
      </c>
      <c r="I90" t="s">
        <v>94</v>
      </c>
      <c r="J90">
        <v>76</v>
      </c>
      <c r="K90" s="2">
        <v>46274.708356481482</v>
      </c>
    </row>
    <row r="91" spans="1:11" x14ac:dyDescent="0.25">
      <c r="A91" t="s">
        <v>180</v>
      </c>
      <c r="B91" s="3"/>
      <c r="D91">
        <v>0</v>
      </c>
      <c r="F91">
        <v>0</v>
      </c>
      <c r="H91">
        <v>262</v>
      </c>
      <c r="I91" t="s">
        <v>94</v>
      </c>
      <c r="J91">
        <v>76</v>
      </c>
      <c r="K91" s="2">
        <v>46274.70853009259</v>
      </c>
    </row>
    <row r="92" spans="1:11" x14ac:dyDescent="0.25">
      <c r="A92" t="s">
        <v>180</v>
      </c>
      <c r="B92" s="3" t="s">
        <v>181</v>
      </c>
      <c r="D92">
        <v>0</v>
      </c>
      <c r="F92">
        <v>0</v>
      </c>
      <c r="H92">
        <v>263</v>
      </c>
      <c r="I92" t="s">
        <v>94</v>
      </c>
      <c r="J92">
        <v>76</v>
      </c>
      <c r="K92" s="2">
        <v>46274.708599537036</v>
      </c>
    </row>
    <row r="93" spans="1:11" x14ac:dyDescent="0.25">
      <c r="B93" s="3"/>
      <c r="H93">
        <v>264</v>
      </c>
      <c r="I93" t="s">
        <v>94</v>
      </c>
      <c r="J93">
        <v>77</v>
      </c>
      <c r="K93" s="2">
        <v>46274.708726851852</v>
      </c>
    </row>
    <row r="94" spans="1:11" x14ac:dyDescent="0.25">
      <c r="A94" t="s">
        <v>182</v>
      </c>
      <c r="B94" s="3"/>
      <c r="D94">
        <v>0</v>
      </c>
      <c r="F94">
        <v>0</v>
      </c>
      <c r="H94">
        <v>265</v>
      </c>
      <c r="I94" t="s">
        <v>94</v>
      </c>
      <c r="J94">
        <v>77</v>
      </c>
      <c r="K94" s="2">
        <v>46274.70888888889</v>
      </c>
    </row>
    <row r="95" spans="1:11" x14ac:dyDescent="0.25">
      <c r="A95" t="s">
        <v>182</v>
      </c>
      <c r="B95" s="3" t="s">
        <v>183</v>
      </c>
      <c r="D95">
        <v>0</v>
      </c>
      <c r="F95">
        <v>0</v>
      </c>
      <c r="H95">
        <v>266</v>
      </c>
      <c r="I95" t="s">
        <v>94</v>
      </c>
      <c r="J95">
        <v>77</v>
      </c>
      <c r="K95" s="2">
        <v>46274.709004629629</v>
      </c>
    </row>
    <row r="96" spans="1:11" x14ac:dyDescent="0.25">
      <c r="B96" s="3"/>
      <c r="H96">
        <v>267</v>
      </c>
      <c r="I96" t="s">
        <v>94</v>
      </c>
      <c r="J96">
        <v>78</v>
      </c>
      <c r="K96" s="2">
        <v>46274.709085648145</v>
      </c>
    </row>
    <row r="97" spans="1:11" x14ac:dyDescent="0.25">
      <c r="A97" t="s">
        <v>184</v>
      </c>
      <c r="B97" s="3"/>
      <c r="D97">
        <v>0</v>
      </c>
      <c r="F97">
        <v>0</v>
      </c>
      <c r="H97">
        <v>268</v>
      </c>
      <c r="I97" t="s">
        <v>94</v>
      </c>
      <c r="J97">
        <v>78</v>
      </c>
      <c r="K97" s="2">
        <v>46274.709236111114</v>
      </c>
    </row>
    <row r="98" spans="1:11" x14ac:dyDescent="0.25">
      <c r="A98" t="s">
        <v>184</v>
      </c>
      <c r="B98" s="3" t="s">
        <v>185</v>
      </c>
      <c r="D98">
        <v>0</v>
      </c>
      <c r="F98">
        <v>0</v>
      </c>
      <c r="H98">
        <v>269</v>
      </c>
      <c r="I98" t="s">
        <v>94</v>
      </c>
      <c r="J98">
        <v>78</v>
      </c>
      <c r="K98" s="2">
        <v>46274.709282407406</v>
      </c>
    </row>
    <row r="99" spans="1:11" x14ac:dyDescent="0.25">
      <c r="B99" s="3"/>
      <c r="H99">
        <v>270</v>
      </c>
      <c r="I99" t="s">
        <v>91</v>
      </c>
      <c r="J99">
        <v>9</v>
      </c>
      <c r="K99" s="2">
        <v>46274.709444444445</v>
      </c>
    </row>
    <row r="100" spans="1:11" x14ac:dyDescent="0.25">
      <c r="A100" t="s">
        <v>182</v>
      </c>
      <c r="B100" s="3" t="s">
        <v>183</v>
      </c>
      <c r="H100">
        <v>271</v>
      </c>
      <c r="I100" t="s">
        <v>91</v>
      </c>
      <c r="J100">
        <v>9</v>
      </c>
      <c r="K100" s="2">
        <v>46274.70952546296</v>
      </c>
    </row>
    <row r="101" spans="1:11" x14ac:dyDescent="0.25">
      <c r="A101" t="s">
        <v>182</v>
      </c>
      <c r="B101" s="3" t="s">
        <v>183</v>
      </c>
      <c r="C101">
        <v>46274</v>
      </c>
      <c r="H101">
        <v>272</v>
      </c>
      <c r="I101" t="s">
        <v>91</v>
      </c>
      <c r="J101">
        <v>9</v>
      </c>
      <c r="K101" s="2">
        <v>46274.709629629629</v>
      </c>
    </row>
    <row r="102" spans="1:11" x14ac:dyDescent="0.25">
      <c r="A102" t="s">
        <v>182</v>
      </c>
      <c r="B102" s="3" t="s">
        <v>183</v>
      </c>
      <c r="C102">
        <v>46274</v>
      </c>
      <c r="D102">
        <v>1</v>
      </c>
      <c r="H102">
        <v>273</v>
      </c>
      <c r="I102" t="s">
        <v>91</v>
      </c>
      <c r="J102">
        <v>9</v>
      </c>
      <c r="K102" s="2">
        <v>46274.709722222222</v>
      </c>
    </row>
    <row r="103" spans="1:11" x14ac:dyDescent="0.25">
      <c r="A103" t="s">
        <v>182</v>
      </c>
      <c r="B103" s="3" t="s">
        <v>183</v>
      </c>
      <c r="C103">
        <v>46274</v>
      </c>
      <c r="D103">
        <v>1</v>
      </c>
      <c r="E103">
        <v>1</v>
      </c>
      <c r="H103">
        <v>274</v>
      </c>
      <c r="I103" t="s">
        <v>91</v>
      </c>
      <c r="J103">
        <v>9</v>
      </c>
      <c r="K103" s="2">
        <v>46274.709826388891</v>
      </c>
    </row>
    <row r="104" spans="1:11" x14ac:dyDescent="0.25">
      <c r="A104" t="s">
        <v>182</v>
      </c>
      <c r="B104" s="3" t="s">
        <v>183</v>
      </c>
      <c r="C104">
        <v>46274</v>
      </c>
      <c r="D104">
        <v>1</v>
      </c>
      <c r="E104">
        <v>1</v>
      </c>
      <c r="F104" t="s">
        <v>186</v>
      </c>
      <c r="H104">
        <v>275</v>
      </c>
      <c r="I104" t="s">
        <v>91</v>
      </c>
      <c r="J104">
        <v>9</v>
      </c>
      <c r="K104" s="2">
        <v>46274.710416666669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eshacerUltimoMovimiento">
                <anchor moveWithCells="1" sizeWithCells="1">
                  <from>
                    <xdr:col>1</xdr:col>
                    <xdr:colOff>419100</xdr:colOff>
                    <xdr:row>0</xdr:row>
                    <xdr:rowOff>95250</xdr:rowOff>
                  </from>
                  <to>
                    <xdr:col>1</xdr:col>
                    <xdr:colOff>1552575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Productos</vt:lpstr>
      <vt:lpstr>Entradas</vt:lpstr>
      <vt:lpstr>Salidas</vt:lpstr>
      <vt:lpstr>historiall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camybelen99021@gmail.com</dc:creator>
  <cp:lastModifiedBy>Soporte</cp:lastModifiedBy>
  <cp:lastPrinted>2026-09-08T14:55:40Z</cp:lastPrinted>
  <dcterms:created xsi:type="dcterms:W3CDTF">2026-09-08T01:33:20Z</dcterms:created>
  <dcterms:modified xsi:type="dcterms:W3CDTF">2026-09-09T20:04:23Z</dcterms:modified>
</cp:coreProperties>
</file>